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valiação Qualitativa" sheetId="1" r:id="rId5"/>
    <sheet state="visible" name="Falsos positivos" sheetId="2" r:id="rId6"/>
    <sheet state="visible" name="Rubrica D1-D4" sheetId="3" r:id="rId7"/>
    <sheet state="visible" name="Narrativas" sheetId="4" r:id="rId8"/>
  </sheets>
  <definedNames>
    <definedName hidden="1" localSheetId="0" name="_xlnm._FilterDatabase">'Avaliação Qualitativa'!$A$1:$Z$54</definedName>
  </definedNames>
  <calcPr/>
</workbook>
</file>

<file path=xl/sharedStrings.xml><?xml version="1.0" encoding="utf-8"?>
<sst xmlns="http://schemas.openxmlformats.org/spreadsheetml/2006/main" count="761" uniqueCount="307">
  <si>
    <t>Nº</t>
  </si>
  <si>
    <t>ID</t>
  </si>
  <si>
    <t>Cat.</t>
  </si>
  <si>
    <t>Questão PT</t>
  </si>
  <si>
    <t>Modelo</t>
  </si>
  <si>
    <t>Data</t>
  </si>
  <si>
    <t>Z</t>
  </si>
  <si>
    <t>Δpp</t>
  </si>
  <si>
    <t>Prob
Antes</t>
  </si>
  <si>
    <t>Prob Depois</t>
  </si>
  <si>
    <t>Prob Antes - Prob Depois</t>
  </si>
  <si>
    <t>Vol
(US$M)</t>
  </si>
  <si>
    <t>Resultado</t>
  </si>
  <si>
    <t>D1
Ancoragem
Factual</t>
  </si>
  <si>
    <t>D2
Integração
Tema</t>
  </si>
  <si>
    <t>D3
Canal
Brasil</t>
  </si>
  <si>
    <t>D4
Causalidade
Controlada</t>
  </si>
  <si>
    <t>Score
pré-análise
(0–12)</t>
  </si>
  <si>
    <t>✏ D1
Revisão</t>
  </si>
  <si>
    <t>✏ D2
Revisão</t>
  </si>
  <si>
    <t>✏ D3
Revisão</t>
  </si>
  <si>
    <t>✏ D4
Revisão</t>
  </si>
  <si>
    <t>Score
Final
(0–12)</t>
  </si>
  <si>
    <t>Falso
Positivo?</t>
  </si>
  <si>
    <t>Observação do avaliador</t>
  </si>
  <si>
    <t>Lote</t>
  </si>
  <si>
    <t>cd36e5b68998</t>
  </si>
  <si>
    <t>Cripto</t>
  </si>
  <si>
    <t>A MicroStrategy vai vender algum Bitcoin até 31 de maio de 2026?</t>
  </si>
  <si>
    <t>Llama 3.3</t>
  </si>
  <si>
    <t>Em aberto</t>
  </si>
  <si>
    <t>Não</t>
  </si>
  <si>
    <t>Falso positivo: Não. Revisão de consistência em todas as linhas: julgamento de falso positivo mantido na observação; notas D1-D4 conferidas contra a narrativa, a rubrica e o padrão das justificativas já existentes. D1 Pontos percentuais na narrativa aparece como 5.2 quando seria 5.0</t>
  </si>
  <si>
    <t>9215153cf9ed</t>
  </si>
  <si>
    <t>FOMC</t>
  </si>
  <si>
    <t>O Fed vai fazer zero cortes de juros em 2026?</t>
  </si>
  <si>
    <t>Falso positivo: Não. Revisão de consistência em todas as linhas: julgamento de falso positivo mantido na observação; notas D1-D4 conferidas contra a narrativa, a rubrica e o padrão das justificativas já existentes. D2 Federal Reserve é mencionado</t>
  </si>
  <si>
    <t>bebac9cc5095</t>
  </si>
  <si>
    <t>O Fed vai cortar os juros em 25 pontos-base na reunião de junho 2026?</t>
  </si>
  <si>
    <t>5780da45bb87</t>
  </si>
  <si>
    <t>O Bitcoin vai cair a US$ 60.000 em fevereiro?</t>
  </si>
  <si>
    <t>No</t>
  </si>
  <si>
    <t>Falso positivo: Não. Revisão de consistência em todas as linhas: julgamento de falso positivo mantido na observação; notas D1-D4 conferidas contra a narrativa, a rubrica e o padrão das justificativas já existentes. D1 — Ancoragem Factual: Nota 1. Há inconsistências factuais importantes. O texto informa corretamente a probabilidade inicial (15,0%) e a probabilidade final (41,0%), mas erra a variação ao afirmar inicialmente "subiu 26,0 pontos percentuais", corrigindo-a logo em seguida para 28,5 pontos percentuais. Além disso, o conjunto de dados apresenta outra inconsistência: prob_depois está registrado como 26,0, enquanto a narrativa e prob_yes indicam 41,0%. Considerando a rubrica, basta existir erro na variação em pontos percentuais para que a nota máxima possível seja 1, ainda que a intensidade ("cerca de 4 vezes") esteja coerente com o z-score = 3,7. D2 — Integração do Tema: Nota 3. O tema foi integrado naturalmente ao texto ("o Bitcoin cair a US$ 60.000 em fevereiro"), sem copiar literalmente o título em inglês. Além disso, o contrato é contextualizado dentro do mercado de criptomoedas ("Este contrato mede a percepção do mercado..."), situando-o em um contexto mais amplo, conforme exige o nível 3. D3 — Pertinência do Canal Brasil: Nota 2. O texto estabelece um canal de transmissão para o Brasil ao afirmar que "os investidores brasileiros podem estar mais cautelosos... o que pode afetar a liquidez e a confiança no mercado" e cita a CVM. Entretanto, a ligação com "custo do crédito" não é explicada e a relação com a CVM permanece apenas especulativa. Apesar disso, existe uma explicação plausível conectando o aumento da probabilidade de queda do Bitcoin ao comportamento dos investidores brasileiros, justificando a nota 2. D4 — Controle de Causalidade: Nota 2. O texto utiliza linguagem condicional ao interpretar possíveis causas, por exemplo: "sugere que os investidores podem estar se tornando mais céticos", "Isso pode indicar..." e "a regulação da CVM pode ser influenciada...". Em nenhum momento essas interpretações são apresentadas como fatos estabelecidos, atendendo ao critério do nível 2.</t>
  </si>
  <si>
    <t>8e7e86c9af69</t>
  </si>
  <si>
    <t>O Bitcoin vai cair a US$ 15.000 até o final de 2026?</t>
  </si>
  <si>
    <t>Falso positivo: Não. Revisão de consistência em todas as linhas: julgamento de falso positivo mantido na observação; notas D1-D4 conferidas contra a narrativa, a rubrica e o padrão das justificativas já existentes. D1 — Ancoragem Factual: O texto apresenta todos os elementos exigidos pela rubrica: a probabilidade inicial ("7.3% anteriormente"), a variação em pontos percentuais ("subiu 3.9 pontos percentuais"), a probabilidade final ("alcançando 11.2%") e a intensidade estatística ("cerca de 4 vezes fora do padrão histórico deste contrato"). Assim, atende integralmente ao nível 3. D2 — Integração do Tema: O tema foi integrado de forma natural ao texto em português ("o Bitcoin cair a US$ 15.000 até o final de 2026"), sem copiar o título do contrato. Além disso, a narrativa contextualiza o contrato dentro do mercado de criptomoedas ("Esse contrato mede a confiança dos investidores em relação ao valor do Bitcoin até o final de 2026"), indo além da simples descrição do contrato e atendendo ao nível 3. D3 — Pertinência do Canal Brasil: O texto estabelece um canal de transmissão claro para o Brasil e cita agentes concretos do mercado brasileiro: "os investidores brasileiros que possuem Bitcoin" e "as exchanges brasileiras podem precisar se adaptar". Além disso, explica por que esse movimento de probabilidade poderia afetá-los ("Isso pode levar a uma diminuição na confiança dos investidores e, consequentemente, a uma redução no valor das criptomoedas no mercado brasileiro."). Como conecta a direção do sinal a instrumentos e participantes concretos do mercado brasileiro, merece nota 3. D4 — Controle de Causalidade: O texto utiliza linguagem condicional ao interpretar o movimento, por exemplo: "Isso sugere que...", "pode indicar que..." e "Isso pode levar...". As possíveis causas e consequências são apresentadas como interpretações, não como fatos estabelecidos. Entretanto, como há interpretações causais (ainda que qualificadas), a nota é 2, e não 3.</t>
  </si>
  <si>
    <t>4c8d080f607b</t>
  </si>
  <si>
    <t>O Fed vai cortar os juros em 25 pontos-base na reunião de março 2026?</t>
  </si>
  <si>
    <t>Gemini 2.5</t>
  </si>
  <si>
    <t>Falso positivo: Não. Revisão de consistência em todas as linhas: julgamento de falso positivo mantido na observação; notas D1-D4 conferidas contra a narrativa, a rubrica e o padrão das justificativas já existentes. D1 — Ancoragem Factual: Nota 2. O texto informa corretamente a probabilidade inicial (7.5%), a probabilidade final (18.5%) e a intensidade estatística ("cerca de 4 vezes maior do que o comportamento normal deste contrato"). Entretanto, não informa explicitamente a variação em pontos percentuais (11,0 pp); diz apenas que a probabilidade "saltou de 7.5% para 18.5%". Pela rubrica, para receber nota 3 é necessário apresentar explicitamente a probabilidade antes, a variação em pp, a intensidade e a probabilidade depois do sinal. D2 — Integração do Tema: Nota 1. O texto incorpora literalmente o título do contrato, inclusive entre aspas ("O Fed vai cortar os juros em 25 pontos-base na reunião de março 2026?"), em vez de integrá-lo naturalmente à narrativa. Apesar de haver contextualização posterior sobre política monetária, a primeira referência viola diretamente o critério, enquadrando-se no nível 1 (e não 0, pois o título foi traduzido para o português). D3 — Pertinência do Canal Brasil: Nota 3. O texto estabelece um canal de transmissão claro e coerente com a direção do sinal: uma maior expectativa de cortes de juros nos EUA poderia aliviar a pressão cambial e influenciar as decisões do Banco Central brasileiro sobre a taxa Selic. São citados uma instituição e um instrumento concretos, além de explicar por que esse canal seria afetado: "tende a aliviar a pressão sobre o câmbio e pode dar mais espaço para o Banco Central brasileiro considerar seus próprios movimentos na taxa Selic". D4 — Controle de Causalidade: Nota 2. O texto interpreta as possíveis causas do movimento ao afirmar que "A aposta refletia expectativas de que dados econômicos ou declarações de membros do Fed poderiam apontar para uma necessidade de estímulo." Trata-se de uma hipótese apresentada com linguagem condicional ("poderiam"), deixando claro que é uma interpretação e não um fato estabelecido. Além disso, a frase "o mercado errou a aposta, pois o Fed não cortou os juros em março de 2026" refere-se apenas ao resultado verificável do contrato e, pela rubrica revisada, não reduz a nota. O texto não recebe 3 porque ainda atribui uma interpretação às causas do movimento de probabilidade.D1 — Ancoragem Factual: Nota 2. O texto informa corretamente a probabilidade inicial (7.5%), a probabilidade final (18.5%) e a intensidade estatística ("cerca de 4 vezes maior do que o comportamento normal deste contrato"). Entretanto, não informa explicitamente a variação em pontos percentuais (11,0 pp); diz apenas que a probabilidade "saltou de 7.5% para 18.5%". Pela rubrica, para receber nota 3 é necessário apresentar explicitamente a probabilidade antes, a variação em pp, a intensidade e a probabilidade depois do sinal. D2 — Integração do Tema: Nota 1. O texto incorpora literalmente o título do contrato, inclusive entre aspas ("O Fed vai cortar os juros em 25 pontos-base na reunião de março 2026?"), em vez de integrá-lo naturalmente à narrativa. Apesar de haver contextualização posterior sobre política monetária, a primeira referência viola diretamente o critério, enquadrando-se no nível 1 (e não 0, pois o título foi traduzido para o português). D3 — Pertinência do Canal Brasil: Nota 3. O texto estabelece um canal de transmissão claro e coerente com a direção do sinal: uma maior expectativa de cortes de juros nos EUA poderia aliviar a pressão cambial e influenciar as decisões do Banco Central brasileiro sobre a taxa Selic. São citados uma instituição e um instrumento concretos, além de explicar por que esse canal seria afetado: "tende a aliviar a pressão sobre o câmbio e pode dar mais espaço para o Banco Central brasileiro considerar seus próprios movimentos na taxa Selic". D4 — Controle de Causalidade: Nota 2. O texto interpreta as possíveis causas do movimento ao afirmar que "A aposta refletia expectativas de que dados econômicos ou declarações de membros do Fed poderiam apontar para uma necessidade de estímulo." Trata-se de uma hipótese apresentada com linguagem condicional ("poderiam"), deixando claro que é uma interpretação e não um fato estabelecido. Além disso, a frase "o mercado errou a aposta, pois o Fed não cortou os juros em março de 2026" refere-se apenas ao resultado verificável do contrato e, pela rubrica revisada, não reduz a nota. O texto não recebe 3 porque ainda atribui uma interpretação às causas do movimento de probabilidade.</t>
  </si>
  <si>
    <t>125d5c4862fd</t>
  </si>
  <si>
    <t>O Bitcoin vai cair a US$ 45.000 em fevereiro?</t>
  </si>
  <si>
    <t>Falso positivo: Não. Revisão de consistência em todas as linhas: julgamento de falso positivo mantido na observação; notas D1-D4 conferidas contra a narrativa, a rubrica e o padrão das justificativas já existentes. D1 — Ancoragem Factual: Nota 3. O texto apresenta todos os elementos exigidos pela rubrica: probabilidade inicial (3.4%), probabilidade final (7.1%), variação em pontos percentuais ("uma alta de 3.7 pontos percentuais") e intensidade estatística ("cerca de 4 vezes fora do padrão histórico deste contrato"). Portanto, atende integralmente ao nível 3. D2 — Integração do Tema: Nota 3. O tema foi integrado de forma natural ao texto em português ("o Bitcoin cair a US$ 45.000 em fevereiro"), sem reproduzir literalmente o título do contrato nem utilizar jargões desnecessários. Além disso, o texto contextualiza o contrato ao explicar que "Este contrato monitora a expectativa de uma desvalorização acentuada do Bitcoin", inserindo-o no contexto mais amplo do mercado de criptomoedas. D3 — Pertinência do Canal Brasil: Nota 2. O texto estabelece um canal de transmissão plausível para o Brasil ao afirmar que "a alta de 3.7 pontos percentuais... pode indicar um aumento da cautela entre investidores locais" e explica como isso poderia afetar os investidores ("detentores de criptoativos... poderiam ser levados a liquidar posições alavancadas"). Entretanto, não menciona um instrumento, instituição ou mercado brasileiro específico (como CVM, B3, Banco Central ou exchanges brasileiras). Assim, atende ao nível 2, mas não ao 3. D4 — Controle de Causalidade: Nota 2. O texto interpreta o movimento da probabilidade utilizando linguagem condicional, por exemplo: "sugere que uma parcela crescente de investidores antecipava uma correção", "pode indicar um aumento da cautela" e "poderiam ser levados a liquidar posições". Essas afirmações são apresentadas como interpretações, e não como fatos estabelecidos. A frase "a aposta tenha se mostrado incorreta" refere-se ao resultado verificável do contrato e não é penalizada pela rubrica revisada. Como há interpretações sobre o movimento da probabilidade, a nota correta é 2.</t>
  </si>
  <si>
    <t>8dd7946d12f8</t>
  </si>
  <si>
    <t>O Bitcoin vai cair a US$ 85.000 em janeiro?</t>
  </si>
  <si>
    <t>Yes</t>
  </si>
  <si>
    <t>Sim</t>
  </si>
  <si>
    <t>Falso positivo: Sim (Variação abrupta para quase 100%). Revisão de consistência em todas as linhas: julgamento de falso positivo mantido na observação; notas D1-D4 conferidas contra a narrativa, a rubrica e o padrão das justificativas já existentes. D1 — Ancoragem Factual: Nota 3. O texto apresenta todos os elementos exigidos pela rubrica: probabilidade inicial (21.5%), probabilidade final (99.9%), variação em pontos percentuais ("80.4 pontos percentuais") e intensidade estatística ("cerca de 4 vezes fora do padrão histórico deste contrato"). Portanto, atende integralmente ao nível 3. D2 — Integração do Tema: Nota 3. O tema foi incorporado naturalmente ao texto em português ("o Bitcoin cair a US$ 85.000 em janeiro"), sem reproduzir o título do contrato. Além disso, o contrato é contextualizado de forma ampla ao explicar que "Esse contrato mede a expectativa do mercado em relação ao desempenho do Bitcoin", inserindo-o no contexto do mercado de criptomoedas. D3 — Pertinência do Canal Brasil: Nota 2. O texto menciona impactos para o Brasil ("mercado brasileiro de criptomoedas", "decisões de compra e venda de criptomoedas no Brasil") e explica como o movimento poderia afetar esse mercado. Contudo, não cita uma instituição, instrumento ou mercado brasileiro específico (como Banco Central, CVM, B3 ou exchanges brasileiras), o que impede a nota 3. D4 — Controle de Causalidade: Nota 1. O texto atribui uma interpretação ao movimento da probabilidade sem deixar claro que se trata apenas de uma hipótese. Exemplos: "Com essa alteração, os investidores demonstram uma forte convicção..." "essa aposta não é apenas um movimento especulativo, mas sim uma indicação clara da direção que o mercado está tomando." "reforça a ideia de que os investidores têm uma visão clara do futuro do Bitcoin." Essas afirmações apresentam interpretações sobre o significado do movimento como se fossem constatações, sem utilizar marcadores de incerteza como "pode indicar", "sugere" ou "possivelmente". Pela rubrica revisada, isso caracteriza o nível 1. A frase "o mercado ter acertado a aposta" refere-se ao resultado verificável do contrato e, isoladamente, não seria penalizada; a redução da nota decorre das interpretações afirmativas sobre o movimento da probabilidade.D1 — Ancoragem Factual: Nota 3. O texto apresenta todos os elementos exigidos pela rubrica: probabilidade inicial (21.5%), probabilidade final (99.9%), variação em pontos percentuais ("80.4 pontos percentuais") e intensidade estatística ("cerca de 4 vezes fora do padrão histórico deste contrato"). Portanto, atende integralmente ao nível 3. D2 — Integração do Tema: Nota 3. O tema foi incorporado naturalmente ao texto em português ("o Bitcoin cair a US$ 85.000 em janeiro"), sem reproduzir o título do contrato. Além disso, o contrato é contextualizado de forma ampla ao explicar que "Esse contrato mede a expectativa do mercado em relação ao desempenho do Bitcoin", inserindo-o no contexto do mercado de criptomoedas. D3 — Pertinência do Canal Brasil: Nota 2. O texto menciona impactos para o Brasil ("mercado brasileiro de criptomoedas", "decisões de compra e venda de criptomoedas no Brasil") e explica como o movimento poderia afetar esse mercado. Contudo, não cita uma instituição, instrumento ou mercado brasileiro específico (como Banco Central, CVM, B3 ou exchanges brasileiras), o que impede a nota 3. D4 — Controle de Causalidade: Nota 1. O texto atribui uma interpretação ao movimento da probabilidade sem deixar claro que se trata apenas de uma hipótese. Exemplos: "Com essa alteração, os investidores demonstram uma forte convicção..." "essa aposta não é apenas um movimento especulativo, mas sim uma indicação clara da direção que o mercado está tomando." "reforça a ideia de que os investidores têm uma visão clara do futuro do Bitcoin." Essas afirmações apresentam interpretações sobre o significado do movimento como se fossem constatações, sem utilizar marcadores de incerteza como "pode indicar", "sugere" ou "possivelmente". Pela rubrica revisada, isso caracteriza o nível 1. A frase "o mercado ter acertado a aposta" refere-se ao resultado verificável do contrato e, isoladamente, não seria penalizada; a redução da nota decorre das interpretações afirmativas sobre o movimento da probabilidade.</t>
  </si>
  <si>
    <t>b0ec3986fd1c</t>
  </si>
  <si>
    <t>O Bitcoin vai atingir US$ 110.000 até o final de 2026?</t>
  </si>
  <si>
    <t>Falso positivo: Não. Revisão de consistência em todas as linhas: julgamento de falso positivo mantido na observação; notas D1-D4 conferidas contra a narrativa, a rubrica e o padrão das justificativas já existentes. D1 — Ancoragem Factual: Nota 3. O texto apresenta corretamente todos os elementos exigidos: probabilidade inicial (66.0%), probabilidade final (61.5%), variação em pontos percentuais ("uma queda de 4.5 pontos percentuais") e intensidade estatística ("cerca de 4 vezes fora do padrão histórico deste contrato"). Portanto, atende integralmente ao nível 3. D2 — Integração do Tema: Nota 3. O tema foi integrado naturalmente ao texto em português ("o Bitcoin atingir US$ 110.000 até o final de 2026"), sem reproduzir o título do contrato. Além disso, o contrato é contextualizado ao explicar que "Este contrato mede a confiança do mercado na valorização expressiva do Bitcoin a longo prazo", inserindo-o em um contexto mais amplo. D3 — Pertinência do Canal Brasil: Nota 2. O texto relaciona o movimento ao Brasil ao afirmar que "pode desacelerar a entrada de novos investidores no mercado cripto brasileiro" e explica por que isso ocorreria ("muitas vezes são atraídos por projeções de ganhos exponenciais"). Entretanto, não cita um instrumento, instituição ou mercado brasileiro específico (como B3, Banco Central, CVM ou exchanges brasileiras), o que impede a nota 3. D4 — Controle de Causalidade: Nota 2. O texto interpreta o movimento da probabilidade utilizando linguagem condicional. Exemplos: "A queda na probabilidade sugere que investidores estão revisando para baixo suas expectativas..." "pode indicar uma revisão para baixo das expectativas..." "pode desacelerar a entrada de novos investidores..." As possíveis causas e consequências são apresentadas como interpretações, utilizando marcadores como "sugere" e "pode indicar", e não como fatos estabelecidos. Como há interpretação sobre o movimento da probabilidade, a nota correta é 2, e não 3.</t>
  </si>
  <si>
    <t>3d8497470817</t>
  </si>
  <si>
    <t>O Fed vai cortar os juros em 50 pontos-base ou mais na reunião de abril 2026?</t>
  </si>
  <si>
    <t>Qwen 2.5</t>
  </si>
  <si>
    <t>Falso positivo: Não. Revisão de consistência em todas as linhas: julgamento de falso positivo mantido na observação; notas D1-D4 conferidas contra a narrativa, a rubrica e o padrão das justificativas já existentes. D1 — Ancoragem Factual: Nota 2. O texto apresenta a probabilidade inicial (4.4%), a probabilidade final (8.3%) e a intensidade estatística ("cerca de 4 vezes fora do padrão histórico deste contrato"). Entretanto, há uma inconsistência na variação em pontos percentuais: a diferença entre 4.4% e 8.3% é 3.9 pontos percentuais, e não 4.2 pontos percentuais como informado. Pela rubrica, como há erro na variação em pp, o texto não pode receber nota 3. D2 — Integração do Tema: Nota 3. O tema foi integrado naturalmente ao texto ("o Fed cortar os juros em 50 pontos-base ou mais na reunião de abril de 2026"), sem reproduzir um título literal entre aspas. Além disso, o contrato é contextualizado dentro da política monetária norte-americana ao explicar que "Este contrato mede a confiança dos investidores na possibilidade de uma redução significativa dos juros pelo Federal Reserve." D3 — Pertinência do Canal Brasil: Nota 3. O texto estabelece um canal de transmissão claro para o Brasil e cita mecanismos econômicos concretos. Explica que "um possível corte de juros nos EUA pode tornar o real mais atrativo para investidores estrangeiros" e que "um ambiente de juros mais baixos nos EUA pode reduzir o custo do crédito no Brasil". A relação entre o movimento e seus possíveis efeitos sobre o câmbio e as condições financeiras brasileiras está explicitamente apresentada, atendendo ao nível 3. D4 — Controle de Causalidade: Nota 0. Logo na abertura, o texto afirma categoricamente a causa do movimento da probabilidade: "O movimento ocorreu em meio a expectativas de uma economia americana mais fraca no primeiro trimestre de 2026." Essa frase atribui uma causa ao aumento da probabilidade como fato estabelecido, sem utilizar qualificadores como "pode indicar", "sugere" ou "possivelmente". Além disso, a frase "A elevação da probabilidade sugere..." não corrige essa afirmação inicial. Pela rubrica revisada, esse caso se enquadra diretamente no nível 0, pois a causa do movimento é apresentada como um fato, e não como uma hipótese.</t>
  </si>
  <si>
    <t>75ccc2f21ef2</t>
  </si>
  <si>
    <t>O Bitcoin vai atingir US$ 95000?</t>
  </si>
  <si>
    <t>Falso positivo: Não. Revisão de consistência em todas as linhas: julgamento de falso positivo mantido na observação; notas D1-D4 conferidas contra a narrativa, a rubrica e o padrão das justificativas já existentes. D1 — Ancoragem Factual: Nota 3. O texto apresenta corretamente todos os elementos exigidos pela rubrica: probabilidade inicial (71.0%), probabilidade final (81.5%), variação em pontos percentuais ("10.5 pontos percentuais") e intensidade estatística ("cerca de 4 vezes fora do padrão histórico deste contrato"). Portanto, atende integralmente ao nível 3. D2 — Integração do Tema: Nota 3. O tema foi integrado naturalmente ao texto ("o Bitcoin atingir US$ 95.000 em janeiro"), sem reproduzir literalmente o título do contrato. Além disso, o contrato é contextualizado ao explicar que "Esse contrato mede a expectativa do mercado em relação ao desempenho do Bitcoin", situando-o dentro do mercado de criptomoedas. D3 — Pertinência do Canal Brasil: Nota 3. O texto relaciona o movimento ao Brasil por meio de canais concretos. Menciona "exchanges locais" e a CVM, explicando que o aumento da confiança pode elevar a atividade no mercado brasileiro de criptomoedas e influenciar discussões regulatórias. Embora a relação com "o custo de importações e a inflação doméstica" seja pouco fundamentada, o texto já satisfaz o nível 3 ao citar uma instituição (CVM) e um segmento concreto do mercado brasileiro (exchanges locais) de forma conectada ao movimento. D4 — Controle de Causalidade: Nota 2. O texto interpreta o movimento da probabilidade utilizando linguagem condicional. Exemplos: "o aumento na probabilidade pode indicar que os investidores estão mais otimistas..." "o contrato sugere que os investidores estão dispostos a apostar significativamente..." "a variação na probabilidade pode sugerir..." Essas interpretações utilizam marcadores como "pode indicar" e "sugere", deixando claro que se tratam de leituras do movimento, e não de fatos estabelecidos. A frase "o resultado final, que confirmou a aposta" refere-se ao desfecho verificável do contrato e não é penalizada pela rubrica revisada. Portanto, a nota correta é 2.D1 — Ancoragem Factual: Nota 3. O texto apresenta corretamente todos os elementos exigidos pela rubrica: probabilidade inicial (71.0%), probabilidade final (81.5%), variação em pontos percentuais ("10.5 pontos percentuais") e intensidade estatística ("cerca de 4 vezes fora do padrão histórico deste contrato"). Portanto, atende integralmente ao nível 3. D2 — Integração do Tema: Nota 3. O tema foi integrado naturalmente ao texto ("o Bitcoin atingir US$ 95.000 em janeiro"), sem reproduzir literalmente o título do contrato. Além disso, o contrato é contextualizado ao explicar que "Esse contrato mede a expectativa do mercado em relação ao desempenho do Bitcoin", situando-o dentro do mercado de criptomoedas. D3 — Pertinência do Canal Brasil: Nota 3. O texto relaciona o movimento ao Brasil por meio de canais concretos. Menciona "exchanges locais" e a CVM, explicando que o aumento da confiança pode elevar a atividade no mercado brasileiro de criptomoedas e influenciar discussões regulatórias. Embora a relação com "o custo de importações e a inflação doméstica" seja pouco fundamentada, o texto já satisfaz o nível 3 ao citar uma instituição (CVM) e um segmento concreto do mercado brasileiro (exchanges locais) de forma conectada ao movimento. D4 — Controle de Causalidade: Nota 2. O texto interpreta o movimento da probabilidade utilizando linguagem condicional. Exemplos: "o aumento na probabilidade pode indicar que os investidores estão mais otimistas..." "o contrato sugere que os investidores estão dispostos a apostar significativamente..." "a variação na probabilidade pode sugerir..." Essas interpretações utilizam marcadores como "pode indicar" e "sugere", deixando claro que se tratam de leituras do movimento, e não de fatos estabelecidos. A frase "o resultado final, que confirmou a aposta" refere-se ao desfecho verificável do contrato e não é penalizada pela rubrica revisada. Portanto, a nota correta é 2.D1 — Ancoragem Factual: Nota 3. O texto apresenta corretamente todos os elementos exigidos pela rubrica: probabilidade inicial (71.0%), probabilidade final (81.5%), variação em pontos percentuais ("10.5 pontos percentuais") e intensidade estatística ("cerca de 4 vezes fora do padrão histórico deste contrato"). Portanto, atende integralmente ao nível 3. D2 — Integração do Tema: Nota 3. O tema foi integrado naturalmente ao texto ("o Bitcoin atingir US$ 95.000 em janeiro"), sem reproduzir literalmente o título do contrato. Além disso, o contrato é contextualizado ao explicar que "Esse contrato mede a expectativa do mercado em relação ao desempenho do Bitcoin", situando-o dentro do mercado de criptomoedas. D3 — Pertinência do Canal Brasil: Nota 3. O texto relaciona o movimento ao Brasil por meio de canais concretos. Menciona "exchanges locais" e a CVM, explicando que o aumento da confiança pode elevar a atividade no mercado brasileiro de criptomoedas e influenciar discussões regulatórias. Embora a relação com "o custo de importações e a inflação doméstica" seja pouco fundamentada, o texto já satisfaz o nível 3 ao citar uma instituição (CVM) e um segmento concreto do mercado brasileiro (exchanges locais) de forma conectada ao movimento. D4 — Controle de Causalidade: Nota 2. O texto interpreta o movimento da probabilidade utilizando linguagem condicional. Exemplos: "o aumento na probabilidade pode indicar que os investidores estão mais otimistas..." "o contrato sugere que os investidores estão dispostos a apostar significativamente..." "a variação na probabilidade pode sugerir..." Essas interpretações utilizam marcadores como "pode indicar" e "sugere", deixando claro que se tratam de leituras do movimento, e não de fatos estabelecidos. A frase "o resultado final, que confirmou a aposta" refere-se ao desfecho verificável do contrato e não é penalizada pela rubrica revisada. Portanto, a nota correta é 2.</t>
  </si>
  <si>
    <t>6bfdb3752364</t>
  </si>
  <si>
    <t>A MicroStrategy vai vender algum Bitcoin até 30 de junho de 2026?</t>
  </si>
  <si>
    <t>Falso positivo: Não. Revisão de consistência em todas as linhas: julgamento de falso positivo mantido na observação; notas D1-D4 conferidas contra a narrativa, a rubrica e o padrão das justificativas já existentes. D1 — Ancoragem Factual: Nota 3. O texto apresenta corretamente todos os elementos exigidos pela rubrica: probabilidade inicial (12.5%), probabilidade final (8.5%), variação em pontos percentuais ("4.0 pontos percentuais") e intensidade estatística ("cerca de 4 vezes fora do padrão histórico deste contrato"). Portanto, atende integralmente ao nível 3. D2 — Integração do Tema: Nota 3. O tema foi integrado de forma natural ao texto em português ("a MicroStrategy vender qualquer Bitcoin até 30 de junho de 2026"), sem reproduzir um título literal em inglês ou entre aspas. Além disso, o contrato é contextualizado ao explicar que "Esse contrato mede a confiança dos investidores na estratégia de investimento em Bitcoin da MicroStrategy", inserindo-o em um contexto mais amplo sobre a estratégia da empresa. D3 — Pertinência do Canal Brasil: Nota 2. O texto menciona impactos para o Brasil ao afirmar que o movimento pode afetar "a confiança dos investidores brasileiros em exchanges e na regulação da CVM". Contudo, a explicação é superficial: não esclarece por que uma menor probabilidade de venda de Bitcoin pela MicroStrategy afetaria especificamente as exchanges brasileiras ou a atuação da CVM. Há menção a elementos concretos do mercado brasileiro, mas a conexão causal com o sinal é pouco desenvolvida. Assim, enquadra-se no nível 2. D4 — Controle de Causalidade: Nota 2. O texto interpreta o movimento da probabilidade utilizando linguagem condicional. Exemplos: "a queda para 8.5% sugere que os investidores estão se tornando cada vez mais céticos..." "a redução na probabilidade de venda pode indicar que os investidores acreditam..." "o movimento pode sugerir que os investidores estão se ajustando às expectativas..." Essas interpretações são apresentadas explicitamente como hipóteses, utilizando expressões como "sugere" e "pode indicar", e não como fatos estabelecidos. Além disso, o texto evita concluir se o mercado acertou ou errou, afirmando corretamente que "o resultado final ainda está em aberto". Como há interpretações sobre o movimento da probabilidade, mas todas qualificadas, a nota correta é 2.</t>
  </si>
  <si>
    <t>4f6ee08b115d</t>
  </si>
  <si>
    <t>Will Bitcoin hit $150k by December 31?</t>
  </si>
  <si>
    <t>Falso positivo: Sim (Ruído estatístico - O mercado simplesmente não tinha liquidez suficiente para que aquele preço representasse consenso). Revisão de consistência em todas as linhas: julgamento de falso positivo mantido na observação; notas D1-D4 conferidas contra a narrativa, a rubrica e o padrão das justificativas já existentes. D1 — Ancoragem Factual: Nota 2. O texto informa corretamente a probabilidade inicial (0.1%), a probabilidade final (4.8%) e a intensidade estatística ("cerca de 4 vezes fora do padrão histórico deste contrato"). Entretanto, há uma inconsistência na ancoragem factual: afirma que o movimento representa "uma alta de 4.8 pontos percentuais", mas a variação entre 0.1% e 4.8% é 4.7 pontos percentuais, não 4.8. Como a variação em pp está incorreta, o texto não pode receber nota 3. D2 — Integração do Tema: Nota 3. O tema foi integrado naturalmente ao texto ("o Bitcoin atingir US$ 150.000 até 31 de dezembro"), sem reproduzir literalmente o título do contrato. Além disso, o contrato é contextualizado ao explicar que "Este contrato mede a expectativa do mercado sobre um dos alvos mais ambiciosos para a criptomoeda", situando-o no contexto do mercado de criptomoedas. D3 — Pertinência do Canal Brasil: Nota 2. O texto estabelece um canal de transmissão plausível ao mencionar investidores brasileiros e exchanges nacionais, explicando que o aumento da probabilidade "sugere um potencial impacto no volume de negociação doméstico". Entretanto, não cita uma instituição ou mercado brasileiro concreto (como Banco Central, CVM ou B3). A expressão "15 milhões com conta em exchanges nacionais" caracteriza um grupo de investidores, não um instrumento ou instituição. Assim, o texto atende ao nível 2. D4 — Controle de Causalidade: Nota 2. O texto interpreta o movimento da probabilidade utilizando linguagem condicional, por exemplo: "pode indicar um otimismo renovado entre os investidores" "pode ser interpretada... como uma validação de tendência de alta" "Isso sugere um potencial impacto..." Todas as interpretações utilizam qualificadores ("pode indicar", "pode ser interpretada", "sugere"), deixando claro que são leituras possíveis do movimento, e não fatos estabelecidos. A frase "o mercado, no final, errou a aposta" refere-se ao resultado verificável do contrato e não é penalizada pela rubrica revisada. Portanto, a nota correta é 2.D1 — Ancoragem Factual: Nota 2. O texto informa corretamente a probabilidade inicial (0.1%), a probabilidade final (4.8%) e a intensidade estatística ("cerca de 4 vezes fora do padrão histórico deste contrato"). Entretanto, há uma inconsistência na ancoragem factual: afirma que o movimento representa "uma alta de 4.8 pontos percentuais", mas a variação entre 0.1% e 4.8% é 4.7 pontos percentuais, não 4.8. Como a variação em pp está incorreta, o texto não pode receber nota 3. D2 — Integração do Tema: Nota 3. O tema foi integrado naturalmente ao texto ("o Bitcoin atingir US$ 150.000 até 31 de dezembro"), sem reproduzir literalmente o título do contrato. Além disso, o contrato é contextualizado ao explicar que "Este contrato mede a expectativa do mercado sobre um dos alvos mais ambiciosos para a criptomoeda", situando-o no contexto do mercado de criptomoedas. D3 — Pertinência do Canal Brasil: Nota 2. O texto estabelece um canal de transmissão plausível ao mencionar investidores brasileiros e exchanges nacionais, explicando que o aumento da probabilidade "sugere um potencial impacto no volume de negociação doméstico". Entretanto, não cita uma instituição ou mercado brasileiro concreto (como Banco Central, CVM ou B3). A expressão "15 milhões com conta em exchanges nacionais" caracteriza um grupo de investidores, não um instrumento ou instituição. Assim, o texto atende ao nível 2. D4 — Controle de Causalidade: Nota 2. O texto interpreta o movimento da probabilidade utilizando linguagem condicional, por exemplo: "pode indicar um otimismo renovado entre os investidores" "pode ser interpretada... como uma validação de tendência de alta" "Isso sugere um potencial impacto..." Todas as interpretações utilizam qualificadores ("pode indicar", "pode ser interpretada", "sugere"), deixando claro que são leituras possíveis do movimento, e não fatos estabelecidos. A frase "o mercado, no final, errou a aposta" refere-se ao resultado verificável do contrato e não é penalizada pela rubrica revisada. Portanto, a nota correta é 2.D1 — Ancoragem Factual: Nota 2. O texto informa corretamente a probabilidade inicial (0.1%), a probabilidade final (4.8%) e a intensidade estatística ("cerca de 4 vezes fora do padrão histórico deste contrato"). Entretanto, há uma inconsistência na ancoragem factual: afirma que o movimento representa "uma alta de 4.8 pontos percentuais", mas a variação entre 0.1% e 4.8% é 4.7 pontos percentuais, não 4.8. Como a variação em pp está incorreta, o texto não pode receber nota 3. D2 — Integração do Tema: Nota 3. O tema foi integrado naturalmente ao texto ("o Bitcoin atingir US$ 150.000 até 31 de dezembro"), sem reproduzir literalmente o título do contrato. Além disso, o contrato é contextualizado ao explicar que "Este contrato mede a expectativa do mercado sobre um dos alvos mais ambiciosos para a criptomoeda", situando-o no contexto do mercado de criptomoedas. D3 — Pertinência do Canal Brasil: Nota 2. O texto estabelece um canal de transmissão plausível ao mencionar investidores brasileiros e exchanges nacionais, explicando que o aumento da probabilidade "sugere um potencial impacto no volume de negociação doméstico". Entretanto, não cita uma instituição ou mercado brasileiro concreto (como Banco Central, CVM ou B3). A expressão "15 milhões com conta em exchanges nacionais" caracteriza um grupo de investidores, não um instrumento ou instituição. Assim, o texto atende ao nível 2. D4 — Controle de Causalidade: Nota 2. O texto interpreta o movimento da probabilidade utilizando linguagem condicional, por exemplo: "pode indicar um otimismo renovado entre os investidores" "pode ser interpretada... como uma validação de tendência de alta" "Isso sugere um potencial impacto..." Todas as interpretações utilizam qualificadores ("pode indicar", "pode ser interpretada", "sugere"), deixando claro que são leituras possíveis do movimento, e não fatos estabelecidos. A frase "o mercado, no final, errou a aposta" refere-se ao resultado verificável do contrato e não é penalizada pela rubrica revisada. Portanto, a nota correta é 2.</t>
  </si>
  <si>
    <t>2e28571ccbb9</t>
  </si>
  <si>
    <t>O Bitcoin vai atingir US$ 120.000 até o final de 2025?</t>
  </si>
  <si>
    <t>Falso positivo: Sim (Reversão imediata e ruído estatístico - O mercado simplesmente não tinha liquidez suficiente para que aquele preço representasse consenso). Revisão de consistência em todas as linhas: julgamento de falso positivo mantido na observação; notas D1-D4 conferidas contra a narrativa, a rubrica e o padrão das justificativas já existentes. D1 — Ancoragem Factual: Nota 3. O texto apresenta todos os elementos exigidos pela rubrica: probabilidade inicial (0.1%), probabilidade final (50.1%), variação em pontos percentuais ("50.0 pontos percentuais") e intensidade estatística ("cerca de 4 vezes fora do padrão histórico deste contrato"). Portanto, atende integralmente ao nível 3. D2 — Integração do Tema: Nota 3. O tema foi integrado naturalmente ao texto em português ("o Bitcoin atingir US$ 120.000 até o final de 2025"), sem reproduzir literalmente o título do contrato. Além disso, o contrato é contextualizado ao explicar que "Este contrato do Signal mede a expectativa coletiva dos investidores sobre a valorização do Bitcoin", inserindo-o em um contexto mais amplo do mercado de criptomoedas. D3 — Pertinência do Canal Brasil: Nota 3. O texto conecta o movimento ao mercado brasileiro de forma concreta, mencionando investidores brasileiros, exchanges nacionais e nomeando especificamente Mercado Bitcoin e Binance BR. Também explica o mecanismo de transmissão ao afirmar que o sinal "poderia impactar o volume de negociação doméstico e o apetite por risco em ativos digitais no país". Assim, atende plenamente ao nível 3. D4 — Controle de Causalidade: Nota 2. O texto interpreta possíveis causas do movimento da probabilidade utilizando linguagem condicional. Exemplos: "pode indicar uma onda de otimismo ou a percepção de um evento catalisador iminente" "sugerindo que muitos acreditavam..." "podem ter reagido a esse sinal" "o que poderia impactar..." As interpretações são apresentadas como hipóteses, utilizando expressões como "pode indicar", "podem ter" e "poderia", e não como fatos estabelecidos. A frase "o mercado... acabou errando a aposta" refere-se apenas ao resultado verificável do contrato e, pela rubrica revisada, não reduz a nota. Portanto, a classificação correta é D4 = 2.</t>
  </si>
  <si>
    <t>a83be3c2258e</t>
  </si>
  <si>
    <t>O Fed vai cortar os juros em 25 pontos-base na reunião de janeiro 2026?</t>
  </si>
  <si>
    <t>Falso positivo: Não. Revisão de consistência em todas as linhas: julgamento de falso positivo mantido na observação; notas D1-D4 conferidas contra a narrativa, a rubrica e o padrão das justificativas já existentes. D1 — Ancoragem Factual: Nota 3. O texto apresenta corretamente todos os elementos exigidos pela rubrica: probabilidade inicial (21.5%), probabilidade final (27.5%), variação em pontos percentuais ("6.0 pontos percentuais") e intensidade estatística ("cerca de 4 vezes maior do que o comportamento normal deste contrato"). Portanto, atende ao nível 3. D2 — Integração do Tema: Nota 1. O texto reproduz o título do contrato praticamente de forma literal, inclusive entre aspas ("O Fed vai cortar os juros em 25 pontos-base na reunião de janeiro 2026?"). Embora esteja traduzido para o português, ele não foi integrado naturalmente à narrativa, enquadrando-se no nível 1 da rubrica. D3 — Pertinência do Canal Brasil: Nota 3. O texto estabelece um canal de transmissão claro e coerente para o Brasil. Explica que a expectativa de juros mais baixos nos EUA "tende a reduzir a pressão sobre o câmbio", "pode abrir espaço para o Banco Central do Brasil (Copom) considerar um ritmo de cortes de juros" e ainda menciona impactos sobre a Bolsa brasileira e o custo de financiamento local. A narrativa cita instituições e mercados brasileiros concretos e explica o mecanismo econômico, atendendo plenamente ao nível 3. D4 — Controle de Causalidade: Nota 2. O texto interpreta possíveis causas para o movimento da probabilidade utilizando linguagem condicional: "sugeria que investidores estavam antecipando..." e "talvez em resposta a dados de inflação ou crescimento econômico mais fracos do que o esperado." O uso de "sugeria" e "talvez" deixa claro que se trata de uma interpretação, não de uma afirmação factual. A frase "o mercado errou a aposta, pois o corte não ocorreu" refere-se apenas ao resultado verificável do contrato e, conforme a rubrica revisada, não reduz a nota. Portanto, a classificação correta é D4 = 2.</t>
  </si>
  <si>
    <t>eef13dcb3008</t>
  </si>
  <si>
    <t>A MicroStrategy vai vender algum Bitcoin em 2025?</t>
  </si>
  <si>
    <t>Falso positivo: Sim (O mercado simplesmente não tinha liquidez suficiente para que aquele preço representasse consenso)). Revisão de consistência em todas as linhas: julgamento de falso positivo mantido na observação; notas D1-D4 conferidas contra a narrativa, a rubrica e o padrão das justificativas já existentes. D1: Nota 1. A narrativa informa a probabilidade inicial e a variação de 4,0 pp, mas usa 5,8% como probabilidade após o sinal, valor incompatível com a variação. D2: Nota 3. Tema integrado e contextualizado pela estratégia da MicroStrategy em Bitcoin. D3: Nota 2. Há conexão com investidores brasileiros e mercado cripto, mas a ligação com regulação é genérica. D4: Nota 2. Usa linguagem condicional, como pode refletir e sugere.</t>
  </si>
  <si>
    <t>e151ebb3034a</t>
  </si>
  <si>
    <t>O Bitcoin vai cair a US$ 55.000 até o final de 2026?</t>
  </si>
  <si>
    <t>Falso positivo: Sim. Revisão de consistência em todas as linhas: julgamento de falso positivo mantido na observação; notas D1-D4 conferidas contra a narrativa, a rubrica e o padrão das justificativas já existentes. D1: Nota 3. Apresenta 39,5% para 45,5%, alta de 6,0 pp e magnitude estatística. D2: Nota 3. Tema integrado e situado no mercado de criptomoedas. D3: Nota 3. Cita investidores brasileiros, exchanges, fintechs e CVM. D4: Nota 2. Interpretações condicionais, sem causa como fato.</t>
  </si>
  <si>
    <t>cd14212d4d92</t>
  </si>
  <si>
    <t>Falso positivo: Sim - Reversão imediata. Revisão de consistência em todas as linhas: julgamento de falso positivo mantido na observação; notas D1-D4 conferidas contra a narrativa, a rubrica e o padrão das justificativas já existentes. D1: Nota 3. Informa 6,0% para 11,0%, alta de 5,0 pp e movimento cerca de 4 vezes fora do padrão. D2: Nota 3. Tema integrado no contexto de cortes agressivos pelo Fed. D3: Nota 3. Canal Brasil claro, com real, importações, dívida externa, Copom e Selic. D4: Nota 2. Usa hipóteses como pode indicar e trata o erro da aposta como resultado verificável. https://polymarket.com/pt/event/fed-decision-in-aprilhttps://polymarket.com/pt/event/fed-decision-in-april -- Conferindo a anomalia em pouco tempo (2 dias) o resultado voltou a ser proximo da probabilidade antes</t>
  </si>
  <si>
    <t>ccaaa23b87d3</t>
  </si>
  <si>
    <t>O Bitcoin vai atingir US$ 100.000 até o final de 2025?</t>
  </si>
  <si>
    <t>Falso positivo: Não. Revisão de consistência em todas as linhas: julgamento de falso positivo mantido na observação; notas D1-D4 conferidas contra a narrativa, a rubrica e o padrão das justificativas já existentes. D1: Nota 1. A narrativa afirma alta de 13,5 pp e probabilidade final de 43,0%, mas os dados indicam variação de 11,5 pp a partir de 30,0%. D2: Nota 3. Tema integrado ao contexto de preço do Bitcoin. D3: Nota 2. Menciona investidores brasileiros, adoção e regulação, mas sem instituição concreta. D4: Nota 1. Apresenta confiança renovada como afirmação, sem deixar claro que é hipótese.</t>
  </si>
  <si>
    <t>293355fa177f</t>
  </si>
  <si>
    <t>MicroStrategy sells any Bitcoin by June 30, 2026?</t>
  </si>
  <si>
    <t>Falso positivo: Não. Revisão de consistência em todas as linhas: julgamento de falso positivo mantido na observação; notas D1-D4 conferidas contra a narrativa, a rubrica e o padrão das justificativas já existentes. D1: Nota 3. Acerta 18,0% para 23,5%, alta de 5,5 pp e intensidade estatística. D2: Nota 3. Tema integrado ao contexto de reservas corporativas de Bitcoin. D3: Nota 3. Cita Méliuz e Hashdex e conecta o sinal à percepção de risco institucional. D4: Nota 2. Leituras sobre reavaliação são interpretativas e o resultado é fato verificável.</t>
  </si>
  <si>
    <t>529456bdef9d</t>
  </si>
  <si>
    <t>O Fed vai manter os juros sem alteração na reunião de abril 2026?</t>
  </si>
  <si>
    <t>Falso positivo: Não. Revisão de consistência em todas as linhas: julgamento de falso positivo mantido na observação; notas D1-D4 conferidas contra a narrativa, a rubrica e o padrão das justificativas já existentes. D1: Nota 2. Apresenta a queda de 12,5 pp e magnitude, mas informa 45,5% quando os dados apontam para 46,0%. D2: Nota 3. Tema integrado à decisão de juros do Fed. D3: Nota 3. Cita Copom, Banco Central do Brasil, bolsa e setores sensíveis. D4: Nota 2. Usa linguagem condicional.</t>
  </si>
  <si>
    <t>4b03210c3bd9</t>
  </si>
  <si>
    <t>O Bitcoin vai cair a US$ 45.000 até o final de 2026?</t>
  </si>
  <si>
    <t>Falso positivo: Não. Revisão de consistência em todas as linhas: julgamento de falso positivo mantido na observação; notas D1-D4 conferidas contra a narrativa, a rubrica e o padrão das justificativas já existentes. D1: Nota 2. Acerta direção e queda de 8,5 pp, mas informa 44,5%, valor incompatível com 52,5% menos 8,5 pp. D2: Nota 3. Tema integrado como correção forte do Bitcoin. D3: Nota 3. Menciona exchanges brasileiras e investidores locais. D4: Nota 2. Usa sugere, sem causalidade como fato.</t>
  </si>
  <si>
    <t>c9d4ca2d7bab</t>
  </si>
  <si>
    <t>O Fed vai cortar os juros em 25 pontos-base na reunião de abril 2026?</t>
  </si>
  <si>
    <t>#######</t>
  </si>
  <si>
    <t>Falso positivo: Não. Revisão de consistência em todas as linhas: julgamento de falso positivo mantido na observação; notas D1-D4 conferidas contra a narrativa, a rubrica e o padrão das justificativas já existentes. D1: Nota 3. Traz 30,0% para 23,0%, queda de 7,0 pp e magnitude estatística. D2: Nota 3. Tema integrado no contexto de política monetária do Fed. D3: Nota 3. Cita Copom, Banco Central, bolsa e setores. D4: Nota 2. Leituras causais aparecem como possibilidades.</t>
  </si>
  <si>
    <t>d4ca1ce99806</t>
  </si>
  <si>
    <t>Falso positivo: Não. Revisão de consistência em todas as linhas: julgamento de falso positivo mantido na observação; notas D1-D4 conferidas contra a narrativa, a rubrica e o padrão das justificativas já existentes. D1: Nota 3. Informa 42,0% para 24,5%, queda de 17,5 pp e magnitude estatística. D2: Nota 3. Tema integrado à estratégia da MicroStrategy. D3: Nota 2. Canal com mercado cripto brasileiro é plausível, mas sem instituição concreta. D4: Nota 2. Usa sugere e pode.</t>
  </si>
  <si>
    <t>e1157398c2cd</t>
  </si>
  <si>
    <t>Falso positivo: Não. Revisão de consistência em todas as linhas: julgamento de falso positivo mantido na observação; notas D1-D4 conferidas contra a narrativa, a rubrica e o padrão das justificativas já existentes. D1: Nota 3. Acerta 35,5% para 40,0%, alta de 4,5 pp e magnitude. D2: Nota 3. Tema integrado à política monetária do Fed. D3: Nota 3. Cita câmbio, Copom, Banco Central, crédito e bolsas. D4: Nota 2. Hipóteses com pode indicar.</t>
  </si>
  <si>
    <t>c8b56f727cee</t>
  </si>
  <si>
    <t>Falso positivo: Não. Revisão de consistência em todas as linhas: julgamento de falso positivo mantido na observação; notas D1-D4 conferidas contra a narrativa, a rubrica e o padrão das justificativas já existentes. D1: Nota 3. Informa 35,0% para 39,0%, alta de 4,0 pp e magnitude. D2: Nota 3. Tema integrado à política monetária americana. D3: Nota 2. Canal via câmbio, importações e dívida externa, mas sem instituição brasileira concreta. D4: Nota 2. Usa pode ter antecipado e pode refletir.</t>
  </si>
  <si>
    <t>3ee0d1a7d664</t>
  </si>
  <si>
    <t>O Fed vai manter os juros sem alteração na reunião de dezembro 2025?</t>
  </si>
  <si>
    <t>Falso positivo: Não. Revisão de consistência em todas as linhas: julgamento de falso positivo mantido na observação; notas D1-D4 conferidas contra a narrativa, a rubrica e o padrão das justificativas já existentes. D1: Nota 1. Informa salto de 12,0% para 31,5%, mas a variação registrada de 17,0 pp não fecha com esse valor final. D2: Nota 1. Título reproduzido entre aspas. D3: Nota 3. Cita Copom, câmbio e dívida pública. D4: Nota 2. Hipóteses com sugeriu e talvez.</t>
  </si>
  <si>
    <t>76756f5dda9c</t>
  </si>
  <si>
    <t>O Bitcoin vai movimentar até US$ 150 em 2026?</t>
  </si>
  <si>
    <t>Falso positivo: Não. Revisão de consistência em todas as linhas: julgamento de falso positivo mantido na observação; notas D1-D4 conferidas contra a narrativa, a rubrica e o padrão das justificativas já existentes. D1: Nota 2. Informa alta de 4,0 pp e magnitude, mas usa 48,5%, incompatível com 44,0% mais 4,0 pp. D2: Nota 3. Tema integrado e contextualizado. D3: Nota 3. Cita Mercado Bitcoin e Binance BR. D4: Nota 2. Consequências apresentadas como possibilidades.</t>
  </si>
  <si>
    <t>b12ce3905c84</t>
  </si>
  <si>
    <t>O Fed vai realizar 2 cortes de juros em 2026?</t>
  </si>
  <si>
    <t>Falso positivo: Não. Revisão de consistência em todas as linhas: julgamento de falso positivo mantido na observação; notas D1-D4 conferidas contra a narrativa, a rubrica e o padrão das justificativas já existentes. D1: Nota 3. Informa 19,0% para 25,5%, alta de 6,5 pp e magnitude. D2: Nota 3. Tema integrado à política monetária futura do Fed. D3: Nota 3. Cita real, importações, dívida externa, Ibovespa, Copom e Selic. D4: Nota 2. Causas como hipóteses.</t>
  </si>
  <si>
    <t>f573a2bbe6c3</t>
  </si>
  <si>
    <t>Falso positivo: Não. Revisão de consistência em todas as linhas: julgamento de falso positivo mantido na observação; notas D1-D4 conferidas contra a narrativa, a rubrica e o padrão das justificativas já existentes. D1: Nota 2. Acerta alta de 6,0 pp e magnitude, mas informa 62,0%, incompatível com 55,0% mais 6,0 pp. D2: Nota 3. Tema integrado. D3: Nota 3. Cita Mercado Bitcoin e Binance BR. D4: Nota 2. Usa sugere e mantém resultado em aberto.</t>
  </si>
  <si>
    <t>12d5fd98c65a</t>
  </si>
  <si>
    <t>Falso positivo: Sim. Revisão de consistência em todas as linhas: julgamento de falso positivo mantido na observação; notas D1-D4 conferidas contra a narrativa, a rubrica e o padrão das justificativas já existentes. D1: Nota 3. Apresenta 34,5% para 28,5%, queda de 6,0 pp e magnitude. D2: Nota 1. Título reproduzido entre aspas. D3: Nota 3. Cita Banco Central, Copom, Selic, financiamentos e dívida pública. D4: Nota 2. Usa sugere e possivelmente.</t>
  </si>
  <si>
    <t>799eb20a0568</t>
  </si>
  <si>
    <t>O Fed vai realizar 10 cortes de juros em 2026?</t>
  </si>
  <si>
    <t>Falso positivo: Não. Revisão de consistência em todas as linhas: julgamento de falso positivo mantido na observação; notas D1-D4 conferidas contra a narrativa, a rubrica e o padrão das justificativas já existentes. D1: Nota 3. Informa 10,0% para 5,0%, queda de 5,0 pp e magnitude. D2: Nota 3. Tema integrado. D3: Nota 3. Cita crédito, Copom, Banco Central, dólar e juros. D4: Nota 2. Interpretação condicional.</t>
  </si>
  <si>
    <t>aca915eb0f77</t>
  </si>
  <si>
    <t>O Fed vai realizar 11 cortes de juros em 2026?</t>
  </si>
  <si>
    <t>Falso positivo: Não. Revisão de consistência em todas as linhas: julgamento de falso positivo mantido na observação; notas D1-D4 conferidas contra a narrativa, a rubrica e o padrão das justificativas já existentes. D1: Nota 3. Informa 10,0% para 5,0%, queda de 5,0 pp e magnitude. D2: Nota 3. Tema integrado. D3: Nota 1. Menciona dólar, real, Copom e Selic, mas a direção econômica fica inconsistente, pois menor chance de 11 cortes sugere menos afrouxamento. D4: Nota 2. Usa sugere e pode.</t>
  </si>
  <si>
    <t>d5e8866502ab</t>
  </si>
  <si>
    <t>O Ethereum vai atingir US$ 5.000 até o final do ano?</t>
  </si>
  <si>
    <t>Falso positivo: Sim. Revisão de consistência em todas as linhas: julgamento de falso positivo mantido na observação; notas D1-D4 conferidas contra a narrativa, a rubrica e o padrão das justificativas já existentes. D1: Nota 3. Informa 54,6% para 48,6%, queda de 6,0 pp e magnitude. D2: Nota 3. Tema integrado ao Ethereum. D3: Nota 2. Conecta ao mercado cripto brasileiro, mas sem instituição concreta. D4: Nota 2. Usa sugere.</t>
  </si>
  <si>
    <t>79056120aaaa</t>
  </si>
  <si>
    <t>O Bitcoin vai atingir US$ 130000?</t>
  </si>
  <si>
    <t>Falso positivo: Não. Revisão de consistência em todas as linhas: julgamento de falso positivo mantido na observação; notas D1-D4 conferidas contra a narrativa, a rubrica e o padrão das justificativas já existentes. D1: Nota 2. Acerta queda de 4,0 pp e magnitude, mas informa 46,0%, enquanto 50,5% menos 4,0 pp resulta em 46,5%. D2: Nota 3. Tema integrado. D3: Nota 3. Cita fundos de investimento e exchanges locais. D4: Nota 2. Usa sugere.</t>
  </si>
  <si>
    <t>0fcc6406aa96</t>
  </si>
  <si>
    <t>Falso positivo: Não. Revisão de consistência em todas as linhas: julgamento de falso positivo mantido na observação; notas D1-D4 conferidas contra a narrativa, a rubrica e o padrão das justificativas já existentes. D1: Nota 3. Informa 59,5% para 37,5%, queda de 22,0 pp e magnitude. D2: Nota 3. Tema integrado. D3: Nota 2. Conecta a entrada de investidores no mercado cripto brasileiro, mas sem instituição concreta. D4: Nota 2. Usa sugere.</t>
  </si>
  <si>
    <t>dd59ce04194e</t>
  </si>
  <si>
    <t>O Fed vai cortar os juros em 50 pontos-base ou mais na reunião de dezembro 2025?</t>
  </si>
  <si>
    <t>Falso positivo: Não. Revisão de consistência em todas as linhas: julgamento de falso positivo mantido na observação; notas D1-D4 conferidas contra a narrativa, a rubrica e o padrão das justificativas já existentes. D1: Nota 3. Informa 6,5% para 10,5%, alta de 4,0 pp e magnitude. D2: Nota 3. Tema integrado. D3: Nota 3. Cita real, Banco Central brasileiro, Copom e Selic. D4: Nota 2. Usa talvez.</t>
  </si>
  <si>
    <t>d1937a810560</t>
  </si>
  <si>
    <t>O Fed vai cortar os juros em 50 pontos-base ou mais na reunião de setembro 2025?</t>
  </si>
  <si>
    <t>Falso positivo: Não. Revisão de consistência em todas as linhas: julgamento de falso positivo mantido na observação; notas D1-D4 conferidas contra a narrativa, a rubrica e o padrão das justificativas já existentes. D1: Nota 1. Não explicita a variação em pp e informa 15,4%, enquanto os dados indicam variação de 4,2 pp a partir de 10,4%. D2: Nota 3. Tema integrado ao Fed. D3: Nota 3. Cita câmbio, Banco Central do Brasil, Copom, crédito e financiamentos. D4: Nota 2. Usa sugere e poderia.</t>
  </si>
  <si>
    <t>207a18e171b1</t>
  </si>
  <si>
    <t>O Bitcoin vai atingir US$ 130.000 até o final de 2025?</t>
  </si>
  <si>
    <t>Falso positivo: Não. Revisão de consistência em todas as linhas: julgamento de falso positivo mantido na observação; notas D1-D4 conferidas contra a narrativa, a rubrica e o padrão das justificativas já existentes. D1: Nota 2. Informa alta de 7,5 pp e magnitude, mas usa 70,0%, incompatível com 63,0% mais 7,5 pp. D2: Nota 3. Tema integrado. D3: Nota 3. Cita Mercado Bitcoin e Binance BR. D4: Nota 2. Usa pode indicar.</t>
  </si>
  <si>
    <t>024ae8c46537</t>
  </si>
  <si>
    <t>O Fed vai cortar os juros em 25 pontos-base na reunião de outubro 2025?</t>
  </si>
  <si>
    <t>Falso positivo: Não. Revisão de consistência em todas as linhas: julgamento de falso positivo mantido na observação; notas D1-D4 conferidas contra a narrativa, a rubrica e o padrão das justificativas já existentes. D1: Nota 2. Informa alta de 7,0 pp e magnitude, mas usa 49,5%, incompatível com 42,0% mais 7,0 pp. D2: Nota 3. Tema integrado. D3: Nota 3. Cita crédito, Copom, bolsa, construtoras e financiamento imobiliário. D4: Nota 2. Usa pode indicar.</t>
  </si>
  <si>
    <t>c39db8cd99f0</t>
  </si>
  <si>
    <t>O Fed vai manter os juros sem alteração na reunião de setembro 2025?</t>
  </si>
  <si>
    <t>Falso positivo: Não. Revisão de consistência em todas as linhas: julgamento de falso positivo mantido na observação; notas D1-D4 conferidas contra a narrativa, a rubrica e o padrão das justificativas já existentes. D1: Nota 1. Afirma salto de 41,0% para 55,5% em três dias, mas a variação registrada é 11,0 pp; faltam variação correta e probabilidade consistente. D2: Nota 3. Tema integrado. D3: Nota 3. Cita câmbio, real, Banco Central do Brasil e Copom. D4: Nota 2. Usa sugere e talvez.</t>
  </si>
  <si>
    <t>52e2ad3c4f2a</t>
  </si>
  <si>
    <t>O Fed vai manter os juros sem alteração na reunião de outubro 2025?</t>
  </si>
  <si>
    <t>Falso positivo: Não. Revisão de consistência em todas as linhas: julgamento de falso positivo mantido na observação; notas D1-D4 conferidas contra a narrativa, a rubrica e o padrão das justificativas já existentes. D1: Nota 3. Informa 40,5% para 36,5%, queda de 4,0 pp e magnitude. D2: Nota 3. Tema integrado. D3: Nota 3. Cita real, dólar, Copom e Selic. D4: Nota 2. Usa sugere.</t>
  </si>
  <si>
    <t>4d7683592b5e</t>
  </si>
  <si>
    <t>O Bitcoin vai atingir US$ 200000?</t>
  </si>
  <si>
    <t>Falso positivo: Não. Revisão de consistência em todas as linhas: julgamento de falso positivo mantido na observação; notas D1-D4 conferidas contra a narrativa, a rubrica e o padrão das justificativas já existentes. D1: Nota 3. Informa 12,5% para 17,5%, alta de 5,0 pp e magnitude. D2: Nota 3. Tema integrado. D3: Nota 3. Cita exchanges locais, liquidez e CVM. D4: Nota 2. Hipótese com sugere e possivelmente.</t>
  </si>
  <si>
    <t>511a614fa952</t>
  </si>
  <si>
    <t>Falso positivo: Não. Revisão de consistência em todas as linhas: julgamento de falso positivo mantido na observação; notas D1-D4 conferidas contra a narrativa, a rubrica e o padrão das justificativas já existentes. D1: Nota 2. Informa alta de 8,0 pp e magnitude, mas usa 26,5%, incompatível com 18,0% mais 8,0 pp. D2: Nota 3. Tema integrado. D3: Nota 3. Cita investidores brasileiros, exchanges brasileiras e regulação. D4: Nota 1. Apresenta confiança renovada e ceticismo moderado como afirmações.</t>
  </si>
  <si>
    <t>ac305a78d3b4</t>
  </si>
  <si>
    <t>Falso positivo: Sim. Revisão de consistência em todas as linhas: julgamento de falso positivo mantido na observação; notas D1-D4 conferidas contra a narrativa, a rubrica e o padrão das justificativas já existentes. D1: Nota 2. Informa queda de 6,5 pp e magnitude, mas usa 24,0%, incompatível com 30,0% menos 6,5 pp. D2: Nota 3. Tema integrado. D3: Nota 2. Canal plausível com mercado cripto brasileiro, mas sem instituição concreta. D4: Nota 2. Usa pode.</t>
  </si>
  <si>
    <t>3fc2cabb6e05</t>
  </si>
  <si>
    <t>O Ethereum vai cair a US$ 1.000 até o final do ano?</t>
  </si>
  <si>
    <t>Falso positivo: Não. Revisão de consistência em todas as linhas: julgamento de falso positivo mantido na observação; notas D1-D4 conferidas contra a narrativa, a rubrica e o padrão das justificativas já existentes. D1: Nota 2. Informa alta de 8,5 pp e magnitude, mas usa 26,5%, incompatível com 17,5% mais 8,5 pp. D2: Nota 3. Tema integrado. D3: Nota 2. Canal com investidores brasileiros e posições alavancadas, sem instituição concreta. D4: Nota 2. Usa pode indicar e poderiam.</t>
  </si>
  <si>
    <t>960eb77b2563</t>
  </si>
  <si>
    <t>O Bitcoin vai atingir US$ 150.000 até o final de 2025?</t>
  </si>
  <si>
    <t>Falso positivo: Não. Revisão de consistência em todas as linhas: julgamento de falso positivo mantido na observação; notas D1-D4 conferidas contra a narrativa, a rubrica e o padrão das justificativas já existentes. D1: Nota 2. Informa alta de 5,0 pp e magnitude, mas usa 36,5%, incompatível com 30,5% mais 5,0 pp. D2: Nota 3. Tema integrado. D3: Nota 2. Canal via investidores brasileiros e exchanges nacionais, mas sem instituição específica. D4: Nota 2. Usa sugere, pode refletir e pode impactar.</t>
  </si>
  <si>
    <t>a47648ba28f1</t>
  </si>
  <si>
    <t>O Ethereum vai atingir US$ 6.000 até o final do ano?</t>
  </si>
  <si>
    <t>Falso positivo: Não. Revisão de consistência em todas as linhas: julgamento de falso positivo mantido na observação; notas D1-D4 conferidas contra a narrativa, a rubrica e o padrão das justificativas já existentes. D1: Nota 1. Narrativa confusa entre percentuais e pp e probabilidade após o sinal incompatível com a variação correta de 4,5 pp. D2: Nota 3. Tema integrado. D3: Nota 2. Cita investidores, exchanges e CVM, mas conexão com importações e inflação é frágil. D4: Nota 2. Usa pode indicar e pode apontar.</t>
  </si>
  <si>
    <t>c81f9ee6a788</t>
  </si>
  <si>
    <t>O Ethereum vai atingir US$ 7.000 até o final do ano?</t>
  </si>
  <si>
    <t>Falso positivo: Não. Revisão de consistência em todas as linhas: julgamento de falso positivo mantido na observação; notas D1-D4 conferidas contra a narrativa, a rubrica e o padrão das justificativas já existentes. D1: Nota 3. Informa 28,0% para 22,5%, queda de 5,5 pp e magnitude. D2: Nota 3. Tema integrado. D3: Nota 2. Conecta ao mercado cripto brasileiro, mas sem instituição concreta. D4: Nota 2. Usa sugere.</t>
  </si>
  <si>
    <t>79a068e120e2</t>
  </si>
  <si>
    <t>O Fed vai cortar os juros em 50 pontos-base na reunião de novembro 2024?</t>
  </si>
  <si>
    <t>Falso positivo: Não. Revisão de consistência em todas as linhas: julgamento de falso positivo mantido na observação; notas D1-D4 conferidas contra a narrativa, a rubrica e o padrão das justificativas já existentes. D1: Nota 1. Não informa explicitamente queda de 6,0 pp e usa 38,5%, incompatível com 44,0% menos 6,0 pp. D2: Nota 3. Tema integrado. D3: Nota 3. Cita Banco Central brasileiro, Copom, crédito e real frente ao dólar. D4: Nota 2. Usa possivelmente.</t>
  </si>
  <si>
    <t>0ee49084ba18</t>
  </si>
  <si>
    <t>O Fed vai manter os juros sem alteração na reunião de novembro de 2024?</t>
  </si>
  <si>
    <t>Falso positivo: Sim - Reversão imediata. Revisão de consistência em todas as linhas: julgamento de falso positivo mantido na observação; notas D1-D4 conferidas contra a narrativa, a rubrica e o padrão das justificativas já existentes. D1: Nota 2. Informa 19,0% para 34,5% e magnitude, mas não explicita variação de 15,5 pp. D2: Nota 1. Título reproduzido entre aspas. D3: Nota 3. Cita câmbio, real, Banco Central brasileiro e Selic. D4: Nota 2. Usa pode indicar.  - https://polymarket.com/pt/event/fed-interest-rates-november-2024 -- Conferindo a anomalia em pouco tempo (2 dias) o resultado voltou a ser proximo da probabilidade antes</t>
  </si>
  <si>
    <t>MÉDIA (pré-análise automática)</t>
  </si>
  <si>
    <t>#</t>
  </si>
  <si>
    <t>ID do Evento</t>
  </si>
  <si>
    <t>Categoria</t>
  </si>
  <si>
    <t>Questão (PT)</t>
  </si>
  <si>
    <t>Z-score</t>
  </si>
  <si>
    <t>Variação (pp)</t>
  </si>
  <si>
    <t>Tipo de FP
(ver legenda)</t>
  </si>
  <si>
    <t>Justificativa do Avaliador</t>
  </si>
  <si>
    <t>Confirmado?</t>
  </si>
  <si>
    <t>Ruído estatístico</t>
  </si>
  <si>
    <t>Variação abrupta para quase 100%</t>
  </si>
  <si>
    <t>O mercado simplesmente não tinha liquidez suficiente para que aquele preço representasse consenso)</t>
  </si>
  <si>
    <t>Reversão imediata</t>
  </si>
  <si>
    <t>O preço voltou ao patamar original em até 3 dias, sem consolidar o movimento. Significa que não entrou informação nova</t>
  </si>
  <si>
    <t>LEGENDA — TIPOS DE FALSO POSITIVO</t>
  </si>
  <si>
    <t>Variação numérica real mas sem evento econômico subjacente identificável. Mercados de baixa liquidez ou final de contrato com poucos participantes ativos. Um contrato que começa em 1% pode ir para 4% com uma única aposta pequena — tecnicamente um z-score alto, mas sem relevância real. O mercado simplesmente não tinha liquidez suficiente para que aquele preço representasse consenso.
Como identificar: coluna Prob Antes na planilha. Qualquer valor abaixo de 2,0 é candidato automático a falso positivo por esse critério.</t>
  </si>
  <si>
    <t>Prob. retorna ao nível anterior em ≤ 3 dias. Sinal detectado, mas mercado corrigiu antes de qualquer impacto real. prob_depois ≈ prob_antes. O preço voltou ao patamar original em até 3 dias, sem consolidar o movimento. Significa que não entrou informação nova — foi ruído.
Como identificar: na aba Narrativas, olhe o campo  na planilha. Se a probabilidade depois do sinal voltou para perto do valor antes, é forte candidato a falso positivo.prob_depois
Na planilha, a coluna Prob Antes está disponível. Posso adicionar uma coluna Prob Depois para facilitar a comparação visual — a diferença entre "Prob Antes" e "Prob Depois" sendo pequena (&lt; 2pp) é sinal de reversão.</t>
  </si>
  <si>
    <t>Liquidez insuficiente</t>
  </si>
  <si>
    <t>Volume &lt; US$ 100k. Uma única grande ordem pode mover o contrato sem representar consenso do mercado.</t>
  </si>
  <si>
    <t>Erro de dado</t>
  </si>
  <si>
    <t xml:space="preserve">Spike isolado nos dados da API (prob = 0 ou 100 por 1 dia). Verificar série histórica no gráfico do dashboard. O preço subiu e caiu no mesmo dia ou no dia seguinte sem motivo aparente — provavelmente erro ou dado ausente na API da Polymarket que o sistema interpretou como movimento real.
Como identificar: é o mais difícil de ver só pela planilha — precisa olhar a narrativa. Se a narrativa descreve um movimento grande mas a  voltou imediatamente, combinado com volume baixo, é provável que seja esse caso.prob_depois
</t>
  </si>
  <si>
    <t>Sem contexto econômico</t>
  </si>
  <si>
    <t>Sinal genuíno mas sem correspondência com nenhum evento macroeconômico rastreável na data (Fed, CPI, dados de emprego, etc.).</t>
  </si>
  <si>
    <t>Outro</t>
  </si>
  <si>
    <t>Documentar no campo Justificativa.</t>
  </si>
  <si>
    <t>Dimensão</t>
  </si>
  <si>
    <t>Score</t>
  </si>
  <si>
    <t>O que avaliar</t>
  </si>
  <si>
    <t>Como identificar na prática</t>
  </si>
  <si>
    <t>D1 — Ancoragem Factual</t>
  </si>
  <si>
    <t>0</t>
  </si>
  <si>
    <t>A narrativa não cita os números do evento, ou cita valores incorretos.</t>
  </si>
  <si>
    <t>Ex.: texto menciona '10%' mas o dado era '15,5%'. Ou não menciona nenhum número.</t>
  </si>
  <si>
    <t>1</t>
  </si>
  <si>
    <t>A probabilidade de partida está correta, mas a variação em pontos percentuais não aparece ou está errada.</t>
  </si>
  <si>
    <t>Ex.: 'A probabilidade caiu de 15,5%...' mas não diz que caiu 5 pp.</t>
  </si>
  <si>
    <t>2</t>
  </si>
  <si>
    <t>A probabilidade de partida e a variação em pp estão corretas. A intensidade estatística (z-score) é mencionada de forma descritiva.</t>
  </si>
  <si>
    <t>Ex.: 'caiu 5 pp, uma variação cerca de 4 vezes fora do padrão histórico'.</t>
  </si>
  <si>
    <t>3</t>
  </si>
  <si>
    <t>Todos os dados quantitativos relevantes aparecem corretamente e de forma organizada, permitindo identificar claramente a evolução da probabilidade (probabilidade antes do movimento, probabilidade no momento do sinal, variação em pontos percentuais e, quando pertinente, a intensidade estatística do evento).</t>
  </si>
  <si>
    <t>Ex.: 'de 15,5% para 9,5%, queda de 5 pp, cerca de 4 vezes o padrão histórico'.</t>
  </si>
  <si>
    <t>D2 — Integração do Tema</t>
  </si>
  <si>
    <t>O título do contrato aparece copiado literalmente, em inglês ou entre aspas, sem ser traduzido nem integrado ao texto.</t>
  </si>
  <si>
    <t>Ex.: '"Will MicroStrategy sell any Bitcoin by May 31?"' aparece na narrativa.</t>
  </si>
  <si>
    <t>O tema foi traduzido, mas com termos técnicos do mercado financeiro que tornam a leitura difícil para não especialistas.</t>
  </si>
  <si>
    <t>Ex.: 'o contrato referente ao target rate de 25 bps na reunião do FOMC'.</t>
  </si>
  <si>
    <t>O tema foi integrado ao texto em português simples, como parte natural de uma frase, sem aspas nem jargão técnico.</t>
  </si>
  <si>
    <t>Ex.: 'A probabilidade de a MicroStrategy vender algum Bitcoin até maio caiu...'</t>
  </si>
  <si>
    <t>Além da integração natural, a narrativa situa o contrato em um contexto econômico ou institucional mais amplo, relacionando-o ao evento macroeconômico correspondente, ao resultado conhecido (quando disponível) ou ao conjunto de contratos do mesmo evento.</t>
  </si>
  <si>
    <t>Ex.: menciona que o contrato faz parte das apostas sobre a reunião do FOMC de junho, não apenas o contrato isolado.</t>
  </si>
  <si>
    <t>D3 — Pertinência do Canal Brasil</t>
  </si>
  <si>
    <t>Não há menção a nenhum impacto para o Brasil, ou a frase é tão genérica que não diz nada ('o Brasil pode ser afetado').</t>
  </si>
  <si>
    <t>Ex.: 'Este movimento pode ter impactos na economia brasileira.' — sem especificar qual.</t>
  </si>
  <si>
    <t>Um canal de transmissão é mencionado (ex.: câmbio, Copom, Ibovespa), mas sem explicar por que aquele canal seria afetado por esse movimento específico.</t>
  </si>
  <si>
    <t>Ex.: 'O câmbio brasileiro pode ser impactado.' — sem conectar ao movimento de probabilidade descrito.</t>
  </si>
  <si>
    <t>O canal mencionado está conectado à direção do sinal. A narrativa explica, mesmo que brevemente, por que aquele canal específico seria afetado por aquela variação específica.</t>
  </si>
  <si>
    <t>Ex.: 'A queda na probabilidade de corte de juros tende a pressionar o real, pois reduz o diferencial de juros favorável ao Brasil.'</t>
  </si>
  <si>
    <t>O canal está conectado à direção do sinal e a narrativa nomeia explicitamente um instrumento, instituição, mercado ou empresa brasileira específica relevante para esse tipo de evento.</t>
  </si>
  <si>
    <t>Ex.: menciona Copom, Selic, Ibovespa, B3, exchange brasileira (como Mercado Bitcoin), ou comportamento de investidores locais.</t>
  </si>
  <si>
    <t>D4 — Controle de Causalidade</t>
  </si>
  <si>
    <t>A narrativa inventa uma causa não sustentada pelos dados disponíveis.</t>
  </si>
  <si>
    <t>Ex.: 'O movimento ocorreu porque o Fed sinalizou manutenção dos juros.' — apresentado como certeza.</t>
  </si>
  <si>
    <t>A narrativa sugere uma causa plausível, mas a apresenta como fato em vez de hipótese.</t>
  </si>
  <si>
    <t>Ex.: 'O mercado reagiu ao discurso do Powell.' — dito como afirmação, não como possibilidade.</t>
  </si>
  <si>
    <t>A narrativa interpreta possíveis causas do movimento de probabilidade utilizando linguagem condicional ("pode indicar", "sugere", "possivelmente"), deixando explícito tratar-se de uma hipótese.</t>
  </si>
  <si>
    <t>Ex.: 'Este movimento pode indicar que o mercado revisou suas expectativas sobre...'</t>
  </si>
  <si>
    <t>A narrativa não atribui qualquer causa ao movimento de probabilidade além dos dados fornecidos. Relações causais, quando presentes, referem-se exclusivamente a fatos verificáveis informados nos dados do contrato (por exemplo, o resultado final do evento).</t>
  </si>
  <si>
    <t>Ex: "O mercado errou a aposta, já que o Fed não realizou o corte" — fato do campo resultado</t>
  </si>
  <si>
    <t>Critério</t>
  </si>
  <si>
    <t>Todos os dados quantitativos relevantes aparecem corretamente e de forma organizada, permitindo identificar claramente a evolução da probabilidade (valor inicial, valor após o sinal, variação em pontos percentuais e, quando essa informação contribui para interpretar a intensidade do evento)</t>
  </si>
  <si>
    <t>Além da integração natural, a narrativa situa o contrato em um contexto econômico ou institucional mais amplo, relacionando-o ao evento macroeconômico correspondente, ao resultado conhecido (quando disponível) ou ao conjunto de contratos do mesmo evento.situa o contrato em um contexto econômico ou institucional mais amplo, relacionando-o ao evento macroeconômico correspondente, ao resultado conhecido (quando disponível) ou ao conjunto de contratos do mesmo evento.</t>
  </si>
  <si>
    <t>O canal está conectado à direção do sinal e a narrativa nnomeia explicitamente um instrumento, instituição, mercado ou empresa brasileira relevante para esse tipo de evento.</t>
  </si>
  <si>
    <t>A narrativa inventa uma causa inexistente e estrutura a explicação inteira sobre ela.</t>
  </si>
  <si>
    <t>Narrativa (texto limpo)</t>
  </si>
  <si>
    <t>A probabilidade de a MicroStrategy vender algum Bitcoin até 31 de maio de 2026 caiu 6 não, caiu 5.0 pontos percentuais, de 15.5% para 9.5%, uma variação cerca de 4 vezes fora do padrão histórico deste contrato. Essa mudança reflete uma alteração significativa nas expectativas dos investidores em relação às ações da MicroStrategy em relação ao Bitcoin. A probabilidade inicial de 15.5% indicava uma certa expectativa de venda, mas a queda para 9.5% sugere que os investidores estão revisando suas apostas.
Esse contrato mede a probabilidade de a MicroStrategy, uma empresa conhecida por suas apostas significativas em Bitcoin, vender parte de suas reservas de criptomoedas até o final de maio de 2026. A redução na probabilidade de venda pode indicar que os investidores acreditam que a MicroStrategy manterá sua estratégia de investimento em Bitcoin, pelo menos no curto prazo. Com um volume total negociado de US$ 8,591,258, esse movimento sugere que os investidores estão monitorando de perto as ações da MicroStrategy e suas implicações para o mercado de criptomoedas. Como o resultado final ainda está em aberto, os investidores continuam a observar as decisões da MicroStrategy e como elas afetarão o mercado de Bitcoin.
A queda na probabilidade de venda de Bitcoin pela MicroStrategy pode ter implicações para os investidores brasileiros que operam no mercado de criptomoedas. Isso pode influenciar a confiança dos investidores em relação ao mercado de criptomoedas e, consequentemente, afetar a demanda por Bitcoin e outras criptomoedas no Brasil. Além disso, a manutenção da estratégia de investimento em Bitcoin pela MicroStrategy pode ser vista como um sinal de estabilidade no mercado, o que pode atrair mais investidores para o setor de criptomoedas.</t>
  </si>
  <si>
    <t>A probabilidade de não haver cortes de juros pelo Fed em 2026 caiu 5.2 pontos percentuais, passando de 72.0% para 67.0%, uma variação que é cerca de 4 vezes fora do padrão histórico deste contrato. Essa mudança sinaliza uma alteração significativa nas expectativas dos investidores em relação à política monetária do Federal Reserve nos Estados Unidos. A probabilidade atual de 67.0% indica que os investidores estão menos certos de que o Fed manterá as taxas de juros sem cortes em 2026.
Esse contrato mede a expectativa do mercado em relação à política monetária do Fed, especificamente se haverá cortes de juros em 2026. A redução na probabilidade de não haver cortes de juros pode indicar que os investidores estão começando a considerar a possibilidade de uma mudança na política monetária, o que sugere que a economia pode estar enfrentando desafios que requerem uma ajuste nas taxas de juros. Com um volume total de US$ 4,545,191, esse movimento reflete a opinião de uma grande base de investidores. No entanto, como o resultado final ainda está em aberto, é preciso aguardar para ver se o mercado acertou ou errou em suas expectativas.
A mudança nas expectativas em relação à política monetária do Fed pode ter um impacto significativo no câmbio, afetando o valor do real em relação ao dólar. Se os investidores começarem a esperar cortes de juros, isso pode levar a uma redução na atratividade do dólar, o que poderia resultar em uma valorização do real. Além disso, a decisão do Copom, o comitê de política monetária do Banco Central do Brasil, também pode ser influenciada pelas expectativas em relação à política monetária nos Estados Unidos, o que pode afetar o custo do crédito no Brasil.</t>
  </si>
  <si>
    <t>A probabilidade de o Fed cortar os juros em 25 pontos-base na reunião de junho de 2026 caiu 14.0 pontos percentuais, passando de 27.5% para 9.5%. Essa variação é cerca de 4 vezes fora do padrão histórico deste contrato, indicando uma mudança significativa na percepção dos investidores sobre as decisões futuras do Fed. A redução abrupta na probabilidade sugere que os investidores estão revisitando suas expectativas em relação à política monetária do Fed.
Esse contrato mede a probabilidade de uma redução nos juros pelo Fed, o que pode indicar uma mudança na direção da política monetária. A queda na probabilidade de um corte de juros pode sugerir que os investidores estão prevendo uma manutenção ou até um aumento das taxas de juros, o que pode ter implicações para a economia global. Com um volume total negociado de US$ 9,433,059, esse movimento reflete a opinião coletiva de milhares de investidores. No entanto, como o resultado final ainda está em aberto, é preciso aguardar para ver se o mercado acertou ou errou em suas previsões.
A redução na probabilidade de um corte de juros pelo Fed pode ter implicações para o custo do crédito no Brasil, possivelmente aumentando os juros para financiamentos e hipotecas. Além disso, pode influenciar as decisões do Copom, que pode manter ou ajustar as taxas de juros no país. Com o mercado brasileiro atento às decisões do Fed, essas mudanças podem afetar a bolsa e as exportadoras, impactando a economia nacional.</t>
  </si>
  <si>
    <t>A probabilidade de o Bitcoin cair a US$ 60.000 em fevereiro subiu 26,0% pontos percentuais, passando de 15,0% para 41,0%, uma variação que subiu 26,0% não, subiu 28,5 pontos percentuais. Esta mudança foi cerca de 4 vezes fora do padrão histórico deste contrato, indicando um movimento significativo no mercado de apostas.
Este contrato mede a percepção do mercado sobre a possibilidade de o Bitcoin atingir um valor específico em um período determinado, e o movimento observado sugere que os investidores podem estar se tornando mais céticos sobre a estabilidade do mercado de criptomoedas. Com um volume total de US$ 7,282,066, o contrato atraiu uma atenção significativa, e o resultado final mostrou que o mercado errou a aposta, pois o Bitcoin não caiu para US$ 60.000 em fevereiro. Isso pode indicar que os investidores estão revisando suas estratégias e expectativas para o mercado de criptomoedas.
O impacto desta mudança no mercado de criptomoedas pode ser sentido no Brasil, especialmente em relação ao custo do crédito e às decisões de investimento em exchanges locais. Com a volatilidade do mercado de criptomoedas, os investidores brasileiros podem estar mais cautelosos em relação a investir em criptomoedas, o que pode afetar a liquidez e a confiança no mercado. Além disso, a regulação da CVM pode ser influenciada por movimentos como este, o que pode levar a mudanças nas regras e normas para os investidores de criptomoedas no Brasil.</t>
  </si>
  <si>
    <t>A probabilidade de o Bitcoin cair a US$ 15.000 até o final de 2026 subiu 3.9 pontos percentuais, alcançando 11.2% após estar em 7.3% anteriormente. Essa variação é cerca de 4 vezes fora do padrão histórico deste contrato, indicando um movimento significativo no mercado. Isso sugere que os investidores estão se tornando mais pessimistas sobre o desempenho do Bitcoin nos próximos meses.
Esse contrato mede a confiança dos investidores em relação ao valor do Bitcoin até o final de 2026, e o movimento recente pode indicar que os investidores estão começando a questionar a capacidade do Bitcoin de manter seu valor atual. Com um volume total de US$ 4,785,833 negociado, o mercado está demonstrando um grande interesse nesse contrato. O fato de a probabilidade ter subido para 11.2% e depois ter caído para 9.6% três dias depois sugere que os investidores estão divididos sobre o futuro do Bitcoin, e o resultado final ainda é incerto.
O aumento da probabilidade de o Bitcoin cair a US$ 15.000 pode ter um impacto significativo no mercado de criptomoedas no Brasil, especialmente para os investidores brasileiros que possuem Bitcoin. Isso pode levar a uma diminuição na confiança dos investidores e, consequentemente, a uma redução no valor das criptomoedas no mercado brasileiro. Além disso, as exchanges brasileiras podem precisar se adaptar a essa nova realidade e encontrar maneiras de mitigar os riscos para seus clientes.</t>
  </si>
  <si>
    <t>Investidores mudaram rapidamente suas apostas sobre a política monetária americana, elevando a probabilidade de que "O Fed vai cortar os juros em 25 pontos-base na reunião de março 2026?". Em apenas um dia, a chance desse corte saltou de 7.5% para 18.5%, uma variação cerca de 4 vezes maior do que o comportamento normal deste contrato.Esse movimento no mercado preditivo, que movimentou mais de US$ 87 milhões, sugeriu que os participantes passaram a ver uma chance significativamente maior de o Federal Reserve iniciar um ciclo de afrouxamento monetário já em março de 2026. A aposta refletia expectativas de que dados econômicos ou declarações de membros do Fed poderiam apontar para uma necessidade de estímulo. No entanto, o mercado errou a aposta, pois o Fed não cortou os juros em março de 2026.Para o Brasil, a expectativa de juros mais baixos nos EUA, mesmo que não concretizada, tende a aliviar a pressão sobre o câmbio e pode dar mais espaço para o Banco Central brasileiro considerar seus próprios movimentos na taxa Selic, dependendo do cenário inflacionário doméstico.</t>
  </si>
  <si>
    <t>A probabilidade de o Bitcoin cair a US$ 45.000 em fevereiro aumentou de 3.4% para 7.1%, uma alta de 3.7 pontos percentuais. Este movimento foi cerca de 4 vezes fora do padrão histórico deste contrato, indicando uma mudança significativa na percepção dos investidores.
Este contrato monitora a expectativa de uma desvalorização acentuada do Bitcoin. A alta na probabilidade, que continuou a subir para 12.0% três dias após o sinal, sugere que uma parcela crescente de investidores antecipava uma correção no preço da principal criptomoeda. Com um volume negociado de mais de US$ 3,7 milhões, o mercado refletiu uma preocupação considerável, embora, no final, a aposta tenha se mostrado incorreta.
Para o Brasil, a alta de 3.7 pontos percentuais na probabilidade de o Bitcoin cair a US$ 45.000 pode indicar um aumento da cautela entre investidores locais. Isso sugere que alguns detentores de criptoativos no país, que frequentemente concentram suas posições em Bitcoin e Ethereum, poderiam ser levados a liquidar posições alavancadas para mitigar riscos diante de uma possível desvalorização.</t>
  </si>
  <si>
    <t>A probabilidade de o Bitcoin cair a US$ 85.000 em janeiro subiu drasticamente, passando de 21.5% para 99.9%, uma variação de 80.4 pontos percentuais. Essa mudança é cerca de 4 vezes fora do padrão histórico deste contrato, indicando um movimento extremamente significativo no mercado. Com essa alteração, os investidores demonstram uma forte convicção de que o valor do Bitcoin atingirá o patamar de US$ 85.000 no mês de janeiro.
Esse contrato mede a expectativa do mercado em relação ao desempenho do Bitcoin, e o movimento observado sugere que os investidores estão cada vez mais confiantes de que o preço da criptomoeda alcançará o valor especificado. Com um volume total de US$ 8.583.813, essa aposta não é apenas um movimento especulativo, mas sim uma indicação clara da direção que o mercado está tomando. O fato de o mercado ter acertado a aposta, com a probabilidade se mantendo em 99.9% três dias após o sinal, reforça a ideia de que os investidores têm uma visão clara do futuro do Bitcoin.
O impacto desse movimento para o mercado brasileiro de criptomoedas pode ser significativo, especialmente para investidores que apostam no desempenho do Bitcoin. A confiança dos investidores em uma queda do valor do Bitcoin pode influenciar as decisões de compra e venda de criptomoedas no Brasil, afetando o mercado local. Além disso, a regulação das criptomoedas no país pode ser influenciada por movimentos significativos no mercado global, como o observado nesse contrato.</t>
  </si>
  <si>
    <t>A probabilidade de o Bitcoin atingir US$ 110.000 até o final de 2026 caiu de 66.0% para 61.5%, uma queda de 4.5 pontos percentuais. Este movimento representa uma variação cerca de 4 vezes fora do padrão histórico deste contrato.Este contrato mede a confiança do mercado na valorização expressiva do Bitcoin a longo prazo. A queda na probabilidade sugere que investidores estão revisando para baixo suas expectativas de um salto tão acentuado no preço da criptomoeda nos próximos anos. Com um volume negociado de US$ 976.270, o mercado refletiu essa mudança de percepção de forma significativa. Três dias após o sinal, a probabilidade se estabilizou em 62.0%, e o resultado final do contrato ainda está em aberto.Para o Brasil, a queda de 4.5 pontos percentuais na expectativa de o Bitcoin atingir US$ 110.000 até 2026 pode indicar uma revisão para baixo das expectativas de valorização extrema. Isso, por sua vez, pode desacelerar a entrada de novos investidores no mercado cripto brasileiro, que muitas vezes são atraídos por projeções de ganhos exponenciais.</t>
  </si>
  <si>
    <t>A probabilidade de o Fed cortar os juros em 50 pontos-base ou mais na reunião de abril de 2026 subiu de 4.4% para 8.3%, uma variação de 4.2 pontos percentuais, cerca de 4 vezes fora do padrão histórico deste contrato. O movimento ocorreu em meio a expectativas de uma economia americana mais fraca no primeiro trimestre de 2026.
Este contrato mede a confiança dos investidores na possibilidade de uma redução significativa dos juros pelo Federal Reserve. A elevação da probabilidade sugere que os investidores estão cada vez mais preocupados com um cenário econômico desafiador, que pode levar o Fed a tomar medidas mais drásticas para estimular a economia. O volume negociado neste contrato foi de US$ 66,025,384, indicando um alto interesse do mercado. No entanto, o mercado acabou errando a aposta, já que o Fed não realizou o corte esperado.
Para o Brasil, um possível corte de juros nos EUA pode tornar o real mais atrativo para investidores estrangeiros, potencialmente fortalecendo a moeda brasileira. Além disso, um ambiente de juros mais baixos nos EUA pode reduzir o custo do crédito no Brasil, facilitando o acesso a financiamentos e empréstimos. No entanto, é importante observar que esses efeitos podem ser mitigados por outros fatores econômicos internos.</t>
  </si>
  <si>
    <t>A probabilidade de o Bitcoin atingir US$ 95.000 em janeiro subiu 10.5 pontos percentuais, passando de 71.0% para 81.5%, uma variação cerca de 4 vezes fora do padrão histórico deste contrato. Essa mudança reflete uma alteração significativa nas expectativas dos investidores em relação ao desempenho do Bitcoin no mercado de criptomoedas. A probabilidade final de 81.5% indica um aumento na confiança dos investidores de que o Bitcoin alcançará o valor de US$ 95.000 em janeiro.
Esse contrato mede a expectativa do mercado em relação ao desempenho do Bitcoin, e o aumento na probabilidade pode indicar que os investidores estão mais otimistas em relação ao futuro da criptomoeda. Com um volume total de US$ 2,243,198, o contrato sugere que os investidores estão dispostos a apostar significativamente no sucesso do Bitcoin. O resultado final, que confirmou a aposta, mostra que o mercado acertou em sua previsão, o que pode apontar para uma tendência de crescimento contínuo para a criptomoeda. Além disso, a variação na probabilidade pode sugerir que os investidores estão monitorando de perto os desenvolvimentos no mercado de criptomoedas e ajustando suas estratégias de acordo.
O aumento na probabilidade de o Bitcoin atingir US$ 95.000 pode ter um impacto positivo no mercado de criptomoedas no Brasil, aumentando a confiança dos investidores brasileiros e potencialmente levando a um aumento no valor das criptomoedas negociadas nas exchanges locais. Além disso, o sucesso do Bitcoin pode influenciar a regulação das criptomoedas no país, com a CVM potencialmente revisando suas políticas em relação ao mercado de criptomoedas. Isso, por sua vez, pode afetar o custo de importações e a inflação doméstica, uma vez que as criptomoedas se tornam mais acessíveis e aceitas no mercado brasileiro.</t>
  </si>
  <si>
    <t>A probabilidade de a MicroStrategy vender qualquer Bitcoin até 30 de junho de 2026 caiu 4.0 pontos percentuais, passando de 12.5% para 8.5%, uma variação que é cerca de 4 vezes fora do padrão histórico deste contrato. Essa mudança reflete uma alteração significativa na percepção dos investidores sobre as intenções da MicroStrategy em relação ao seu portfólio de Bitcoin. A probabilidade inicial de 12.5% já indicava um nível de incerteza, mas a queda para 8.5% sugere que os investidores estão se tornando cada vez mais céticos sobre a possibilidade de a empresa vender seus ativos de Bitcoin no prazo estabelecido.
Esse contrato mede a confiança dos investidores na estratégia de investimento em Bitcoin da MicroStrategy, e a redução na probabilidade de venda pode indicar que os investidores acreditam que a empresa manterá sua posição em Bitcoin. Com um volume total de US$ 5,856,252, o contrato atraiu uma atenção significativa, e o movimento pode sugerir que os investidores estão se ajustando às expectativas de que a MicroStrategy continue a segurar seus ativos de Bitcoin. A sequência de probabilidades, que passou de 12.5% para 8.5% e posteriormente para 9.5% três dias depois, indica uma flutuação contínua nas percepções dos investidores, e como o resultado final ainda está em aberto, é prematuro dizer se o mercado acertou ou errou em suas apostas.
A mudança na percepção sobre a estratégia de investimento em Bitcoin da MicroStrategy pode ter um impacto no mercado de criptomoedas como um todo, afetando a confiança dos investidores brasileiros em exchanges e na regulação da CVM. Além disso, a manutenção de uma grande posição em Bitcoin pela MicroStrategy pode influenciar a percepção de risco e a volatilidade do mercado, o que por sua vez pode afetar as decisões de investimento de outros players no mercado de criptomoedas.</t>
  </si>
  <si>
    <t>Disparou a probabilidade de o Bitcoin atingir US$ 150.000 até 31 de dezembro, saltando de 0.1% para 4.8%. O movimento, que representa uma alta de 4.8 pontos percentuais, foi cerca de 4 vezes fora do padrão histórico deste contrato.Este contrato mede a expectativa do mercado sobre um dos alvos mais ambiciosos para a criptomoeda. A alta na probabilidade de o Bitcoin atingir US$ 150.000 em 2026 pode indicar um otimismo renovado entre os investidores, embora a probabilidade tenha recuado para 3.6% três dias depois do sinal. O volume total negociado neste contrato foi de US$ 1.555.670, e o mercado, no final, errou a aposta.Para o Brasil, a alta de 4.8 pontos percentuais na probabilidade de o Bitcoin atingir US$ 150.000 pode ser interpretada por investidores brasileiros — especialmente os cerca de 15 milhões com conta em exchanges nacionais — como uma validação de tendência de alta. Isso sugere um potencial impacto no volume de negociação doméstico, à medida que mais participantes buscam capitalizar sobre o otimismo.</t>
  </si>
  <si>
    <t>A probabilidade de o Bitcoin atingir US$ 120.000 até o final de 2025 disparou, saltando de 0.1% para 50.1%. Esse movimento representa uma alta de 50.0 pontos percentuais, uma variação cerca de 4 vezes fora do padrão histórico deste contrato.Este contrato do Signal mede a expectativa coletiva dos investidores sobre a valorização do Bitcoin. A súbita alta para 50.1% pode indicar uma onda de otimismo ou a percepção de um evento catalisador iminente no mercado de criptomoedas, sugerindo que muitos acreditavam em uma forte recuperação ou em um novo ciclo de alta. No entanto, três dias após o sinal, a probabilidade reverteu drasticamente para 0.2%, e o mercado, que movimentou um volume total de US$ 8.257.060, acabou errando a aposta.Para o Brasil, a alta de 50.0 pontos percentuais na probabilidade de o Bitcoin atingir US$ 120.000 pode ter sido percebida como uma validação de tendência de alta. Investidores brasileiros, especialmente os cerca de 15 milhões com contas em exchanges nacionais como Mercado Bitcoin e Binance BR, podem ter reagido a esse sinal, o que poderia impactar o volume de negociação doméstico e o apetite por risco em ativos digitais no país.</t>
  </si>
  <si>
    <t>As apostas do mercado sobre "O Fed vai cortar os juros em 25 pontos-base na reunião de janeiro 2026?" subiram rapidamente, passando de 21.5% para 27.5% em apenas um dia. Este movimento de 6.0 pontos percentuais representa uma variação cerca de 4 vezes maior do que o comportamento normal deste contrato.Essa alta na probabilidade de corte de juros pelo Federal Reserve sugeria que investidores estavam antecipando uma mudança na política monetária americana, talvez em resposta a dados de inflação ou crescimento econômico mais fracos do que o esperado. O contrato, que movimentou um volume expressivo de US$ 101,211,543, reflete a crença coletiva sobre as ações do banco central dos EUA. No entanto, o resultado final mostrou que o mercado errou a aposta, pois o corte não ocorreu.Para o Brasil, a expectativa de juros mais baixos nos EUA, mesmo que não concretizada, tende a reduzir a pressão sobre o câmbio e pode abrir espaço para o Banco Central do Brasil (Copom) considerar um ritmo de cortes de juros mais agressivo no futuro. Um cenário de juros globais em queda geralmente favorece o fluxo de capital para mercados emergentes, impactando positivamente a Bolsa brasileira e o custo de financiamento local.</t>
  </si>
  <si>
    <t>A probabilidade de a MicroStrategy vender qualquer Bitcoin em 2025 subiu 4.0 pontos percentuais, passando de 1.1% para 5.8%, uma variação cerca de 4 vezes fora do padrão histórico deste contrato. Esse movimento súbito pode refletir uma mudança nas expectativas dos investidores em relação às estratégias de investimento da MicroStrategy em criptomoedas. A probabilidade inicial de 1.1% indicava um baixo nível de confiança na venda de Bitcoin pela empresa, mas o salto para 5.8% sugere um aumento significativo na percepção de que a MicroStrategy poderia reconsiderar sua posição em relação ao ativo digital.
Esse contrato mede a percepção do mercado sobre a possibilidade de a MicroStrategy, uma empresa conhecida por suas apostas significativas em Bitcoin, decidir vender parte de sua reserva de criptomoedas em 2025. O movimento de 1.1% para 5.8% e posteriormente para 1.6% três dias depois sugere que os investidores podem estar reavaliando suas estratégias de investimento em criptomoedas, considerando as flutuações no mercado e as decisões de empresas como a MicroStrategy. Com um volume total de US$ 17,976,158, esse contrato não apenas reflete as expectativas dos investidores, mas também pode influenciar a percepção geral do mercado sobre o setor de criptomoedas. No entanto, o resultado final indicou que o mercado errou em sua aposta, uma vez que a MicroStrategy não vendeu qualquer Bitcoin em 2025.
O impacto desse movimento no mercado de criptomoedas pode ser significativo para os investidores brasileiros, especialmente aqueles que têm apostas em Bitcoin ou outras criptomoedas. A variação na percepção do mercado sobre a estratégia de investimento da MicroStrategy pode influenciar a confiança dos investidores em relação ao setor, afetando potencialmente o valor das criptomoedas e as decisões de investimento no Brasil. Além disso, a regulação das criptomoedas no país pode ser influenciada por movimentos significativos no mercado global, como o observado nesse contrato.</t>
  </si>
  <si>
    <t>A probabilidade de o Bitcoin cair a US$ 55.000 até o final de 2026 subiu 6.0 pontos percentuais, passando de 39.5% para 45.5%, uma variação cerca de 4 vezes fora do padrão histórico deste contrato. Esse movimento indica um aumento significativo na aposta dos investidores de que o valor do Bitcoin pode atingir esse patamar em um futuro próximo. A probabilidade inicial de 39.5% já refletia uma incerteza significativa no mercado, e o salto para 45.5% sugere que os investidores estão se tornando cada vez mais cautelosos em relação ao desempenho do Bitcoin.
Esse contrato mede a confiança dos investidores na capacidade do Bitcoin de manter ou atingir um valor específico no futuro, e o movimento recente pode indicar que os investidores estão começando a questionar a estabilidade do mercado de criptomoedas. Com um volume total de US$ 3,174,665, esse contrato é significativo e pode sugerir que os investidores estão se preparando para uma possível correção no mercado. Ainda que o resultado final do contrato ainda esteja em aberto, a mudança na probabilidade pode apontar para uma maior volatilidade no mercado de criptomoedas nos próximos meses.
O aumento na probabilidade de o Bitcoin cair a US$ 55.000 pode impactar diretamente os investidores brasileiros que têm exposição ao mercado de criptomoedas, afetando suas estratégias de investimento e expectativas de retorno. Além disso, pode influenciar a decisão de exchanges e empresas de tecnologia financeira que operam no Brasil, levando a uma reavaliação das estratégias de negócios e dos riscos associados ao mercado de criptomoedas. Isso pode, por sua vez, afetar a regulação do mercado de criptomoedas no país, com a CVM podendo precisar reavaliar suas políticas para proteger os investidores.</t>
  </si>
  <si>
    <t>A probabilidade de o Fed cortar os juros em 50 pontos-base ou mais na reunião de abril de 2026 subiu de 6.0% para 11.0%, uma variação de 5.0 pontos percentuais. Este movimento, cerca de 4 vezes fora do padrão histórico deste contrato, indica uma mudança notável nas expectativas do mercado.
Este contrato mede a expectativa dos investidores sobre a intensidade dos cortes de juros pelo Federal Reserve. A alta na probabilidade de um corte mais agressivo pode indicar que o mercado estava precificando uma política monetária mais frouxa nos EUA. Com um volume negociado de US$ 66.025.384, o mercado refletiu essa crença, que, no entanto, não se concretizou: três dias após o sinal, a probabilidade reverteu para 8.0%, e o mercado errou a aposta de um corte de 50 pontos-base ou mais.
Para o Brasil, a expectativa de cortes mais agressivos nos juros americanos, que subiu em 5.0 pontos percentuais, pode aliviar a pressão sobre o real. Isso sugere um dólar mais fraco no cenário global, o que poderia baratear as importações e reduzir o custo da dívida externa brasileira, além de potencialmente dar mais espaço para o Copom considerar cortes na Selic.</t>
  </si>
  <si>
    <t>A probabilidade de o Bitcoin atingir US$ 100.000 até o final de 2025 subiu 13.5 pontos percentuais, passando de 30.0% para 43.0%, uma variação que representa cerca de 4 vezes fora do padrão histórico deste contrato. Essa mudança súbita reflete a confiança renovada dos investidores na capacidade do Bitcoin de alcançar esse marco de preço antes do fim do ano. A probabilidade inicial de 30.0% indicava uma incerteza significativa, mas o salto para 43.0% sugere que os investidores estão cada vez mais otimistas sobre o desempenho do Bitcoin.
Esse contrato mede a confiança do mercado na capacidade do Bitcoin de atingir um preço específico em um prazo determinado, o que pode indicar uma tendência de aumento no valor da criptomoeda. A subida na probabilidade pode sugerir que os investidores estão mais confiantes na adoção e no valor do Bitcoin a longo prazo. Com um volume total de US$ 9,479,019, o movimento é significativo e pode apontar para uma mudança nos humores do mercado. No entanto, o resultado final mostrou que o mercado errou a aposta, o que pode indicar que a euforia foi exagerada ou que fatores externos influenciaram negativamente o preço do Bitcoin.
O impacto dessa mudança no mercado de criptomoedas pode afetar diretamente os investidores brasileiros que têm exposição ao Bitcoin, influenciando suas decisões de investimento e expectativas de retorno. Além disso, a variação no preço do Bitcoin pode influenciar a percepção geral do mercado sobre a estabilidade e o potencial das criptomoedas, o que pode, por sua vez, afetar a regulação e a adoção dessas moedas no Brasil. A mudança no preço do Bitcoin também pode afetar o custo de importações e a inflação doméstica, uma vez que o Brasil é um importador de tecnologia e equipamentos que podem ser comprados com Bitcoin.</t>
  </si>
  <si>
    <t>A probabilidade de a MicroStrategy vender qualquer Bitcoin até 30 de junho de 2026 aumentou de 18.0% para 23.5%, subindo 5.5 pontos percentuais. Este movimento representa uma variação cerca de 4 vezes fora do padrão histórico deste contrato, indicando uma mudança significativa na percepção do mercado.Este contrato mede a expectativa de que a MicroStrategy, uma das maiores detentoras corporativas de Bitcoin, possa liquidar parte de suas reservas. A alta na probabilidade de 23.5% no dia do sinal, que se confirmou ao subir para 33.5% três dias depois, sugere que investidores estão reavaliando a estratégia de longo prazo da empresa ou a estabilidade do mercado de criptoativos. O volume total negociado neste contrato foi de US$ 8,418,661, e o mercado acertou a aposta.Para o Brasil, a alta de 5.5 pontos percentuais na probabilidade de venda pela MicroStrategy pode afetar a percepção de risco institucional sobre o Bitcoin. Empresas brasileiras com reservas em criptoativos, como Meliuz e Hashdex, podem rever suas estratégias de alocação ou gestão de portfólio, sugerindo uma maior cautela ou reavaliação do cenário para grandes investidores corporativos no setor.</t>
  </si>
  <si>
    <t>A probabilidade de não haver mudança nas taxas de juros do Fed após a reunião de abril de 2026 caiu 12.5 pontos percentuais, passando de 58.5% para 45.5%. Essa variação foi cerca de 4 vezes fora do padrão histórico deste contrato, indicando um movimento significativo no mercado. A redução na probabilidade sugere que os investidores estão revisando suas expectativas sobre as decisões do Fed em relação às taxas de juros.
Esse contrato mede a expectativa do mercado sobre a manutenção das taxas de juros do Fed após a reunião de abril de 2026. A queda na probabilidade pode indicar que os investidores estão antecipando um possível ajuste nas taxas de juros, o que pode ter implicações para a economia global. Com um volume total de US$ 76,909,226, esse contrato atraiu uma atenção significativa do mercado. No final, o resultado final confirmou que não houve mudança nas taxas de juros, mostrando que o mercado acertou em sua aposta, que posteriormente se estabilizou em 46.0% três dias após o sinal.
A redução na probabilidade de manutenção das taxas de juros do Fed pode ter um impacto no custo do crédito no Brasil, afetando financiamentos e hipotecas. Além disso, pode influenciar as decisões do Copom, o comitê de política monetária do Banco Central do Brasil, em relação às taxas de juros domésticas. Isso, por sua vez, pode afetar a bolsa de valores, especialmente as ações de empresas exportadoras e siderúrgicas, que são sensíveis às variações nas taxas de juros e no câmbio.</t>
  </si>
  <si>
    <t>A probabilidade de o Bitcoin cair a US$ 45.000 até o final de 2026 despencou de 52.5% para 44.5%, uma queda de 8.5 pontos percentuais. Este movimento é cerca de 4 vezes fora do padrão histórico deste contrato, sinalizando uma mudança significativa na percepção do mercado.
Este contrato mede a expectativa dos investidores sobre uma forte correção no preço do Bitcoin nos próximos anos. A queda na probabilidade de o Bitcoin atingir US$ 45.000 sugere que o mercado está menos pessimista em relação ao futuro da criptomoeda, ou que a confiança em patamares mais altos de preço se fortaleceu. Com um volume total negociado de US$ 2.687.276, o mercado ainda aguarda o desfecho final deste evento.
Para o Brasil, a diminuição da probabilidade de uma queda acentuada do Bitcoin pode indicar um otimismo crescente no mercado de criptomoedas. Isso tende a sustentar o volume negociado nas exchanges brasileiras e pode encorajar novos aportes de investidores locais, percebendo um risco menor de desvalorização extrema no médio prazo.</t>
  </si>
  <si>
    <t>A probabilidade de o Fed cortar os juros em 25 pontos-base na reunião de abril de 2026 caiu 7.0 pontos percentuais, passando de 30.0% para 23.0%, uma variação cerca de 4 vezes fora do padrão histórico deste contrato. Essa mudança reflete uma revisão significativa nas expectativas dos investidores em relação à política monetária do Fed nos próximos meses. A redução nas apostas em um corte de juros pode indicar uma percepção de que a economia está mais resiliente do que se imaginava, ou que os principais indicadores econômicos não justificam uma redução nos juros.
Esse contrato mede a percepção do mercado sobre a probabilidade de o Federal Reserve (Fed) reduzir as taxas de juros em sua reunião de abril de 2026. A queda na probabilidade de um corte de juros sugere que os investidores estão começando a apostar em uma política monetária mais estável ou até mais restritiva. Com um volume total negociado de US$ 65,311,949, essa mudança de expectativa é significativa e pode indicar uma revisão nas estratégias de investimento. No entanto, dado que o resultado final foi de não haver corte de juros, o mercado errou em sua aposta, o que pode ter implicações para a confiança dos investidores em suas capacidades de previsão.
A queda na probabilidade de um corte de juros pelo Fed pode ter implicações para o custo do crédito no Brasil, afetando diretamente as taxas de juros para financiamentos e hipotecas. Além disso, pode influenciar as decisões do Comitê de Política Monetária (Copom) do Banco Central do Brasil, considerando a tendência global de política monetária. Isso, por sua vez, pode afetar o desempenho da bolsa de valores brasileira, especialmente de setores sensíveis a taxas de juros, como as exportadoras e siderúrgicas.</t>
  </si>
  <si>
    <t>A probabilidade de a MicroStrategy vender qualquer Bitcoin até 30 de junho de 2026 caiu drasticamente, passando de 42.0% para 24.5%, uma variação de 17.5 pontos percentuais. Esse movimento foi cerca de 4 vezes fora do padrão histórico deste contrato, indicando uma mudança significativa na percepção dos investidores.
Este contrato mede a expectativa do mercado sobre a estratégia de longo prazo da MicroStrategy, uma das maiores detentoras corporativas de Bitcoin. A queda na probabilidade sugere que os investidores agora veem uma chance muito menor de a empresa liquidar suas reservas de criptomoedas no futuro próximo. Com um volume negociado de US$ 8.418.661, o mercado, no final, acertou a aposta, confirmando a tendência de não-venda.
Para o mercado cripto brasileiro, a queda de 17.5 pontos percentuais na probabilidade de venda pela MicroStrategy pode reforçar a percepção de que grandes detentores institucionais não estão liquidando suas posições. Isso, por sua vez, pode ancorar o preço do Bitcoin e reduzir a volatilidade percebida, o que tende a trazer mais estabilidade e confiança para os investidores locais.</t>
  </si>
  <si>
    <t>A probabilidade de o Fed cortar os juros em 25 pontos-base na reunião de março de 2026 subiu 4.5 pontos percentuais, passando de 35.5% para 40.0%, uma variação que é cerca de 4 vezes fora do padrão histórico deste contrato. Esse movimento sugere que os investidores estão se tornando mais otimistas sobre a possibilidade de um corte de juros no início de 2026. A probabilidade inicial de 35.5% já indicava um interesse significativo, mas o salto para 40.0% mostra uma mudança significativa na percepção do mercado.
Esse contrato mede a expectativa do mercado sobre a política monetária do Federal Reserve, especificamente se haverá um corte de juros em 25 pontos-base após a reunião de março de 2026. A subida na probabilidade pode indicar que os investidores acreditam que a economia está enfrentando desafios que justifiquem uma redução nas taxas de juros. Com um volume total negociado de US$ 87,103,284, o movimento no contrato sugere que os investidores estão apostando pesado nessa possibilidade. No entanto, considerando a sequência completa que foi de 35.5% para 40.0% e depois para 39.5% três dias depois, e sabendo que o resultado final foi contrário à aposta do mercado, é claro que as expectativas não se concretizaram.
O impacto desse movimento para o Brasil pode ser visto no câmbio, onde uma expectativa de corte de juros nos EUA pode influenciar a atratividade do dólar em relação ao real. Além disso, a decisão do Copom do Banco Central do Brasil pode ser influenciada pelas tendências globais de juros, afetando o custo do crédito no país. Com a variação nos mercados globais, os investidores brasileiros devem estar atentos às mudanças nas taxas de juros e seu efeito nas bolsas e na economia em geral.</t>
  </si>
  <si>
    <t>A probabilidade de o Fed cortar os juros em 25 pontos-base na reunião de janeiro de 2026 subiu de 35.0% para 39.0%, uma variação de 4.0 pontos percentuais. Esse movimento, cerca de 4 vezes fora do padrão histórico deste contrato, sinaliza uma mudança notável nas expectativas do mercado.Este contrato mede a expectativa dos investidores sobre a política monetária do Banco Central americano. A alta na probabilidade de corte sugere que o mercado pode ter antecipado uma postura mais flexível do Fed no futuro distante, ou pode refletir dados econômicos que apontam para uma desaceleração. Com um volume negociado de mais de US$ 101,211,543, a aposta era significativa. No entanto, o mercado errou a aposta, pois o corte não se concretizou.Para o Brasil, a percepção de juros americanos potencialmente mais baixos em 2026, mesmo que a probabilidade tenha subido apenas 4.0 pontos percentuais, pode aliviar a pressão sobre o câmbio. Uma expectativa de juros americanos mais baixos no futuro tende a enfraquecer o dólar, o que pode dar um respiro ao real, tornando as importações mais baratas e reduzindo o custo da dívida externa brasileira.</t>
  </si>
  <si>
    <t>Investidores mudaram rapidamente suas apostas sobre "O Fed vai manter os juros sem alteração na reunião de dezembro 2025?". A probabilidade de o Banco Central americano não mexer nas taxas subiu de 12.0% para 31.5% em apenas um dia, um salto de 17.0 pontos percentuais. Este foi um movimento cerca de 4 vezes maior do que o comportamento normal deste contrato.Este contrato mede a expectativa do mercado sobre a decisão do Federal Reserve de manter ou não os juros estáveis na reunião de dezembro de 2025. A alta repentina na probabilidade de uma pausa sugeriu que os investidores estavam precificando uma mudança na postura do Fed, talvez antecipando um cenário econômico que justificasse a manutenção das taxas. Com um volume negociado de mais de US$ 44.5 milhões, o sinal refletiu uma convicção significativa, embora, no final, o mercado tenha errado a aposta sobre a decisão do Fed.Para o Brasil, a expectativa de que o Fed manteria os juros sem alteração poderia ter aliviado a pressão sobre o Banco Central brasileiro, o Copom, na sua própria política monetária. Um Fed menos propenso a subir juros tende a reduzir a fuga de capital de mercados emergentes, potencialmente estabilizando o câmbio e o custo da dívida pública brasileira. No entanto, a realidade dos eventos futuros mostrou que essa aposta inicial do mercado não se concretizou.</t>
  </si>
  <si>
    <t>Aumentou a expectativa nos mercados preditivos de que o Bitcoin vai movimentar até US$ 150.000 em 2026. A probabilidade de isso acontecer subiu de 44.0% para 48.5%, com uma variação diária de 4.0 pontos percentuais, um movimento cerca de 4 vezes fora do padrão histórico deste contrato.
Este contrato mede a confiança dos investidores na capacidade do Bitcoin de atingir um valor expressivo nos próximos anos. O movimento recente pode indicar uma renovada onda de otimismo no mercado de criptomoedas, sugerindo que os participantes veem um potencial de valorização significativo. O volume total negociado neste contrato já ultrapassa US$ 19.180.592. Três dias após o sinal, a probabilidade se ajustou ligeiramente para 47.5%, e o resultado final ainda está em aberto.
Para o Brasil, a alta de 4.0 pontos percentuais na probabilidade de o Bitcoin atingir US$ 150.000 até 2026 pode ser interpretada por investidores brasileiros, especialmente os cerca de 15 milhões com contas em exchanges nacionais como Mercado Bitcoin e Binance BR, como uma validação da tendência de alta. Isso, por sua vez, pode impactar o volume de negociação doméstico, à medida que mais pessoas buscam participar do que pode ser um ciclo de valorização do ativo.</t>
  </si>
  <si>
    <t>A probabilidade de o Fed realizar 2 cortes de juros em 2026 subiu de 19.0% para 25.5%, uma variação de 6.5 pontos percentuais. Este movimento foi cerca de 4 vezes fora do padrão histórico deste contrato.Este contrato mede a expectativa dos investidores sobre a política monetária futura do banco central americano. A alta na probabilidade de apenas dois cortes em 2026 pode indicar que o mercado está precificando um cenário de juros mais altos por mais tempo nos Estados Unidos, ou uma inflação mais persistente que exigiria uma postura mais conservadora do Fed. Com um volume negociado de US$ 1.330.087, o mercado ainda aguarda o desfecho para confirmar se essa expectativa se concretizará.Para o Brasil, a elevação de 6.5 pontos percentuais na expectativa de menos cortes de juros nos EUA em 2026 sugere um cenário de dólar mais forte frente ao real. Isso pode pressionar a moeda brasileira, encarecendo importações e aumentando o custo da dívida externa para empresas e o governo. Além disso, taxas de juros americanas mais elevadas por um período prolongado tendem a atrair capital estrangeiro para a renda fixa dos EUA, o que pode impactar negativamente o Ibovespa e limitar o espaço do Copom para novos cortes na Selic.</t>
  </si>
  <si>
    <t>Aumentou a expectativa de que o Bitcoin vai movimentar até US$ 150 mil em 2026, com a probabilidade subindo de 55.0% para 62.0%. Este movimento representa uma alta de 6.0 pontos percentuais e é cerca de 4 vezes fora do padrão histórico deste contrato, indicando uma mudança significativa na percepção do mercado.
Este contrato mede a confiança dos investidores na capacidade do Bitcoin de atingir um patamar de preço elevado em um futuro próximo. A alta na probabilidade de 62.0%, que se manteve em 60.5% três dias depois, sugere que o mercado está mais otimista com a valorização da criptomoeda. Com um volume total negociado de US$ 19.180.592, o movimento reflete uma aposta coletiva robusta, embora o resultado final ainda esteja em aberto.
Para o Brasil, a alta de 6.0 pontos percentuais na probabilidade de o Bitcoin atingir US$ 150 mil em 2026 pode indicar que investidores brasileiros — especialmente os cerca de 15 milhões com conta em exchanges nacionais como Mercado Bitcoin e Binance BR — podem reagir ao sinal como validação de uma tendência de alta, potencialmente impactando o volume de negociação doméstico.</t>
  </si>
  <si>
    <t>As apostas do mercado sobre "O Fed vai cortar os juros em 25 pontos-base na reunião de janeiro 2026?" caíram de 34.5% para 28.5% em apenas um dia. Essa queda de 6.0 pontos percentuais representa uma variação cerca de 4 vezes maior do que o comportamento normal deste contrato.Este contrato mede a expectativa dos investidores sobre a política monetária do Federal Reserve. A rápida mudança sugere que os participantes do mercado estão menos confiantes em um corte de juros pelo Fed em janeiro de 2026, possivelmente antecipando uma postura mais conservadora da autoridade monetária americana. Com um volume total negociado de US$ 101,211,543, o sinal reflete uma percepção coletiva significativa, embora, no final, o mercado tenha errado a aposta sobre esse evento específico.Para o Brasil, a menor expectativa de cortes de juros nos EUA pode pressionar o Banco Central (Copom) a manter a Selic em patamares mais elevados por mais tempo, para evitar uma fuga de capital e desvalorização do real. Isso também pode impactar o custo de financiamentos e a dívida pública no país.</t>
  </si>
  <si>
    <t>A probabilidade de o Fed realizar 10 cortes de juros em 2026 caiu 5.0 pontos percentuais, passando de 10.0% para 5.0%. Essa variação foi cerca de 4 vezes fora do padrão histórico deste contrato, indicando um movimento significativo no mercado. Isso sugere que os investidores estão revisando suas expectativas sobre a política monetária do Fed para o próximo ano.
Esse contrato mede a expectativa do mercado sobre a possibilidade de o Fed realizar 10 cortes de juros em 2026, o que pode indicar uma mudança significativa na política monetária. A redução na probabilidade de 10.0% para 5.0% e, posteriormente, para 3.0% nos três dias seguintes, sugere que os investidores estão se tornando cada vez mais céticos sobre a possibilidade de cortes de juros agressivos. Com um volume total de US$ 3,637,763 negociado, esse movimento pode apontar para uma revisão das expectativas de crescimento econômico e inflação. No entanto, como o resultado final ainda está em aberto, é preciso aguardar para ver se o mercado acertou ou errou em suas previsões.
A redução na probabilidade de cortes de juros do Fed pode ter um impacto significativo no custo do crédito no Brasil, afetando financiamentos e hipotecas. Além disso, pode influenciar a decisão do Copom do Banco Central do Brasil, que pode precisar ajustar sua política monetária em resposta às mudanças nos Estados Unidos. Com o dólar e as taxas de juros sendo fatores importantes para a economia brasileira, esse movimento pode ter implicações significativas para o país.</t>
  </si>
  <si>
    <t>A probabilidade de o Fed realizar 11 cortes de juros em 2026 caiu de 10.0% para 5.0%, uma queda de 5.0 pontos percentuais. Este movimento é cerca de 4 vezes fora do padrão histórico deste contrato.Este contrato mede a expectativa do mercado sobre a agressividade dos cortes de juros pelo Federal Reserve nos Estados Unidos até 2026. A queda na probabilidade, que se aprofundou para 1.6% três dias após o sinal, sugere que investidores estão reduzindo suas apostas em um ciclo de flexibilização monetária tão intenso. Com um volume negociado de mais de US$ 3,662,987, o mercado ainda mantém em aberto o resultado final.A queda de 5.0 pontos percentuais na probabilidade de o Fed realizar 11 cortes de juros em 2026 sugere que o mercado pode estar antecipando juros americanos mais baixos ou uma pausa mais longa. Este cenário, por sua vez, pode enfraquecer o dólar e aliviar a pressão sobre o real, o que pode dar mais espaço para o Copom retomar cortes na Selic.</t>
  </si>
  <si>
    <t>A probabilidade de o Ethereum atingir US$ 5.000 até o final do ano caiu de 54.6% para 48.6%, uma variação de 6.0 pontos percentuais. Este movimento foi cerca de 4 vezes fora do padrão histórico deste contrato, indicando uma mudança significativa na percepção dos investidores sobre o futuro da criptomoeda.
Este contrato do Signal mede a confiança dos investidores na capacidade do Ethereum de alcançar um patamar de preço significativo até o fim do ano. A queda sugere que o otimismo em relação a um salto expressivo do Ethereum diminuiu, com o mercado revisando para baixo suas expectativas de valorização. Com um volume total negociado de US$ 18.467.737, o mercado refletiu essa mudança de percepção. Três dias após o sinal, a probabilidade se recuperou ligeiramente para 55.2%, mas, no fim, o mercado errou a aposta, e o Ethereum não atingiu US$ 5.000.
Para o Brasil, a queda de 6.0 pontos percentuais na probabilidade de o Ethereum atingir US$ 5.000 pode indicar uma revisão das expectativas de alta para o mercado de criptoativos. Isso, por sua vez, sugere que a entrada de novos investidores no mercado cripto brasileiro pode desacelerar, já que a perspectiva de grandes valorizações em curto prazo se torna menos provável.</t>
  </si>
  <si>
    <t>Investidores reduziram suas apostas em um cenário de alta para o Bitcoin, com a probabilidade de a criptomoeda atingir US$ 130000 até o final de 2025 caindo de 50.5% para 46.0%. Essa variação de 4.0 pontos percentuais representa um movimento cerca de 4 vezes fora do padrão histórico deste contrato, indicando uma mudança significativa no sentimento do mercado.Este contrato mede a confiança dos participantes do mercado na valorização expressiva do Bitcoin, funcionando como um termômetro para as expectativas de longo prazo sobre a principal criptomoeda. O movimento de baixa, que se recuperou parcialmente para 47.5% três dias depois, sugere que, embora tenha havido um momento de cautela, a aposta em um Bitcoin a US$ 130000 não foi totalmente abandonada. No entanto, o mercado errou a aposta, e o volume total negociado no contrato foi de US$ 13.211.425, refletindo o interesse considerável dos investidores.Para os investidores brasileiros, essa queda na probabilidade de um Bitcoin a US$ 130000 pode indicar um período de maior volatilidade e cautela nos portfólios de criptoativos. Fundos de investimento e exchanges locais podem observar uma reavaliação das estratégias, com foco em diversificação ou ativos menos voláteis. A percepção de risco para o mercado cripto global impacta diretamente o apetite por risco dos brasileiros neste segmento.</t>
  </si>
  <si>
    <t>A probabilidade de o Bitcoin atingir US$ 150 mil em 2026 caiu drasticamente, passando de 59.5% para 37.5%. Este movimento representa uma queda de 22.0 pontos percentuais e é cerca de 4 vezes fora do padrão histórico deste contrato.
Este contrato mede a expectativa do mercado sobre o preço futuro do Bitcoin. A queda na probabilidade, que se manteve em 37.5% três dias depois do sinal, sugere que investidores estão revisando para baixo suas projeções de valorização extrema para a criptomoeda nos próximos anos. Com um volume total negociado de US$ 2.434.411, o mercado ainda está em aberto, aguardando a evolução do preço do Bitcoin até o final de 2026.
Para o mercado brasileiro, essa revisão para baixo das expectativas de um Bitcoin a US$ 150 mil pode desacelerar a entrada de novos investidores no mercado cripto. A queda de 22.0 pontos percentuais na probabilidade de um preço tão elevado pode refletir uma postura mais cautelosa dos participantes, o que impacta o ritmo de adoção e investimento em ativos digitais no país.</t>
  </si>
  <si>
    <t>Investidores mudaram rapidamente suas apostas sobre a política monetária americana. A probabilidade de o Fed cortar os juros em 50 pontos-base ou mais na reunião de dezembro 2025 saltou de 6.5% para 10.5% em apenas um dia, uma variação cerca de 4 vezes maior do que o comportamento normal deste contrato.Este contrato mede a expectativa do mercado para cortes agressivos nas taxas de juros pelo Federal Reserve. O movimento sugere que investidores passaram a ver uma chance maior de o banco central americano adotar uma postura mais agressiva para estimular a economia, talvez em resposta a dados econômicos mais fracos. Com um volume total negociado de US$ 161,574,382, o sinal refletiu uma convicção significativa, embora, no final, o mercado tenha errado a aposta.Para o Brasil, a percepção de um Fed mais propenso a cortes de juros nos Estados Unidos tende a aliviar a pressão sobre o real, tornando o dólar menos atraente e potencialmente abrindo espaço para o Banco Central brasileiro (Copom) ter maior flexibilidade em suas próprias decisões sobre a taxa Selic, sem o risco de uma fuga de capitais. Isso poderia, em tese, contribuir para um custo de crédito mais baixo no país.</t>
  </si>
  <si>
    <t>As apostas do mercado sobre um movimento agressivo do Federal Reserve mudaram bruscamente, com a probabilidade de o Fed cortar os juros em 50 pontos-base ou mais na reunião de setembro 2025 saltando de 10.4% para 15.4% em apenas um dia. Este foi um movimento cerca de 4 vezes maior do que o comportamento normal deste contrato, indicando uma forte reavaliação dos investidores.
Este contrato mede a expectativa dos investidores sobre a intensidade dos cortes de juros pelo banco central americano. O aumento repentino sugere que o mercado passou a precificar uma chance maior de o Fed precisar agir de forma mais contundente para estimular a economia ou combater uma desaceleração. A relevância desse sinal é reforçada pelo volume total negociado no contrato, que atingiu US$ 49,890,284. Contudo, o mercado errou a aposta final, já que o Fed não realizou um corte de juros tão agressivo como o sinal indicava.
Para o Brasil, uma expectativa crescente de cortes agressivos nos juros americanos, como a sinalizada, poderia aliviar a pressão sobre o câmbio e a política monetária doméstica. Isso potencialmente daria mais espaço para o Banco Central do Brasil (Copom) considerar cortes de juros mais cedo ou em maior magnitude, impactando positivamente o custo do crédito e os financiamentos no país.</t>
  </si>
  <si>
    <t>A probabilidade de o Bitcoin atingir US$ 130.000 até o final de 2025 subiu de 63.0% para 70.0%, uma variação de 7.5 pontos percentuais. Este movimento foi cerca de 4 vezes fora do padrão histórico deste contrato, indicando uma mudança significativa na percepção dos investidores sobre o futuro da criptomoeda.
Este contrato mede a confiança do mercado na valorização do Bitcoin para um patamar ambicioso, refletindo a crença coletiva de milhares de investidores. A alta na probabilidade pode indicar que, naquele momento, um número maior de participantes via potencial para o Bitcoin alcançar um novo pico significativo. Com um volume negociado de US$ 13.211.425, o mercado demonstrou forte convicção. No entanto, o mercado errou a aposta, e o Bitcoin não atingiu os US$ 130.000 até o final de 2025. A probabilidade, que chegou a 70.0% no dia do sinal, estabilizou em 71.0% três dias depois, antes de reverter.
A alta de 7.5 pontos percentuais na probabilidade de o Bitcoin atingir US$ 130.000 até o final de 2025 pode indicar que investidores brasileiros — especialmente os cerca de 15 milhões com conta em exchanges nacionais como Mercado Bitcoin e Binance BR — podem ter reagido ao sinal como uma validação de tendência de alta, potencialmente impactando o volume de negociação doméstico.</t>
  </si>
  <si>
    <t>A probabilidade de o Fed cortar os juros em 25 pontos-base na reunião de outubro de 2025 subiu 7.0 pontos percentuais, passando de 42.0% para 49.5%, uma variação cerca de 4 vezes fora do padrão histórico deste contrato. Esse movimento indica uma mudança significativa na percepção dos investidores sobre a política monetária do Fed. A probabilidade inicial de 42.0% refletia uma incerteza sobre as decisões do Fed, mas o salto para 49.5% sugere que os investidores estão cada vez mais convictos de que uma redução nos juros está no horizonte.
Esse contrato mede a expectativa do mercado sobre as decisões do Federal Reserve em relação às taxas de juros, o que tem um impacto direto na economia global. A subida na probabilidade de um corte de juros pode indicar que os investidores acreditam que o Fed está preparado para estimular a economia, o que sugere que a instituição está preocupada com o crescimento econômico. Com um volume total de US$ 51,626,218 negociado, o mercado demonstrou um interesse significativo nesse evento. Além disso, considerando que o resultado final confirmou a aposta dos investidores, com o Fed de fato cortando os juros, isso aponta para uma precisão nas expectativas do mercado.
O aumento na probabilidade de um corte de juros pelo Fed pode ter um impacto positivo no mercado de crédito no Brasil, possivelmente reduzindo o custo do crédito para consumidores e empresas. Além disso, uma política monetária mais expansiva nos Estados Unidos pode influenciar as decisões do Copom, o comitê de política monetária do Banco Central do Brasil, sobre as taxas de juros no país. Isso, por sua vez, pode afetar o desempenho da bolsa brasileira, especialmente de setores sensíveis a taxas de juros, como as construtoras e empresas de financiamento imobiliário.</t>
  </si>
  <si>
    <t>Investidores mudaram rapidamente suas expectativas sobre a política monetária americana. A probabilidade de que o Fed mantenha os juros sem alteração na reunião de setembro 2025 saltou de 41.0% para 55.5% em apenas três dias. Este movimento representa uma variação cerca de 4 vezes maior do que o comportamento normal deste contrato.Este contrato mede a crença coletiva do mercado sobre a decisão do Federal Reserve em uma data futura. O aumento abrupto na probabilidade de manutenção dos juros sugere que os participantes do mercado estavam precificando um cenário de maior estabilidade, talvez antecipando dados econômicos que justificassem uma pausa nas movimentações. Com um volume total negociado de US$ 67,368,762, o sinal teve alta liquidez e relevância, embora o resultado final tenha mostrado que o mercado errou a aposta, pois o Fed não manteve os juros inalterados.Para o Brasil, uma maior probabilidade de estabilidade nos juros americanos, ainda que temporária, poderia aliviar a pressão sobre o câmbio, tornando o real menos volátil frente ao dólar. Isso daria mais espaço para o Banco Central do Brasil (Copom) calibrar sua própria política monetária, sem a necessidade de seguir tão de perto os passos do Fed.</t>
  </si>
  <si>
    <t>Investidores mudaram rapidamente suas apostas sobre a política monetária americana. A probabilidade de que o Fed vai manter os juros sem alteração na reunião de outubro 2025 caiu de 40.5% para 36.5% em apenas um dia, uma variação cerca de 4 vezes maior do que o comportamento normal deste contrato.Este contrato mede a expectativa do mercado sobre a estabilidade da taxa de juros do Federal Reserve. A queda abrupta sugere que os investidores agora veem uma maior probabilidade de alguma ação por parte do Fed — seja um corte ou um aumento — em vez de manter a política monetária inalterada. Com um volume negociado de US$ 46,052,654, o sinal reflete uma convicção significativa, embora o mercado tenha, no final, errado a aposta sobre o desfecho.Para o Brasil, a menor expectativa de estabilidade na política monetária dos EUA pode gerar incerteza nos mercados globais. Isso pode impactar a percepção de risco para o país, influenciando a cotação do real frente ao dólar e, potencialmente, as decisões do Copom sobre a taxa Selic, que busca equilibrar a inflação interna com o cenário externo.</t>
  </si>
  <si>
    <t>A probabilidade de o Bitcoin atingir US$ 200000 subiu 5.0 pontos percentuais, passando de 12.5% para 17.5%. Este movimento representa uma variação cerca de 4 vezes fora do padrão histórico deste contrato.Este contrato mede a confiança do mercado na valorização extrema do Bitcoin. O salto na probabilidade, de 12.5% para 17.5%, e a posterior correção para 15.5% três dias depois, sugere um otimismo temporário dos investidores, possivelmente impulsionado por notícias ou análises de curto prazo. O volume total negociado no contrato foi de US$ 19.275.708, e, no final, o mercado errou a aposta.Para investidores brasileiros, um aumento na expectativa de valorização do Bitcoin pode incentivar a entrada de capital em exchanges locais, aumentando a liquidez. Contudo, a volatilidade implícita em apostas de alta extrema exige cautela, especialmente em um cenário de regulação ainda em desenvolvimento pela CVM.</t>
  </si>
  <si>
    <t>A probabilidade de o Ethereum atingir US$ 5.000 até o final do ano subiu 8.0 pontos percentuais, passando de 18.0% para 26.5%, uma variação que é cerca de 4 vezes fora do padrão histórico deste contrato. Essa mudança súbita reflete a confiança renovada dos investidores na capacidade do Ethereum de alcançar esse marco até dezembro. A probabilidade inicial de 18.0% havia indicado um ceticismo moderado, mas o salto para 26.5% sugere um aumento significativo na expectativa de que o Ethereum possa superar a barreira dos US$ 5.000.
Esse contrato mede a confiança do mercado na capacidade do Ethereum de atingir um preço específico em um prazo determinado, o que pode indicar a percepção geral dos investidores sobre o potencial de crescimento da criptomoeda. A variação na probabilidade sugere que os investidores estão cada vez mais otimistas sobre o desempenho do Ethereum, o que pode ser influenciado por fatores como adotamento crescente, melhorias tecnológicas e mudanças regulatórias. Com um volume total de US$ 18,467,737, esse contrato não apenas reflete a opinião dos investidores, mas também representa um valor significativo em termos de apostas financeiras. No entanto, o resultado final mostrou que o mercado errou a aposta, o que pode apontar para uma sobrevalorização ou uma leitura excessivamente otimista do potencial do Ethereum.
A mudança na percepção do mercado sobre o Ethereum pode ter implicações para os investidores brasileiros, especialmente aqueles que estão expostos ao mercado de criptomoedas. O aumento na confiança no Ethereum pode levar a um aumento no interesse e no investimento em criptomoedas no Brasil, o que pode afetar a dinâmica do mercado local. Além disso, a variação no preço do Ethereum pode influenciar a competitividade das exchanges brasileiras e a regulação da criptomoeda no país, tornando o monitoramento desses movimentos essencial para entender o impacto no mercado financeiro nacional.</t>
  </si>
  <si>
    <t>As expectativas de que o Bitcoin vai atingir US$ 130.000 até o final de 2025 caíram bruscamente, com a probabilidade de ocorrência passando de 30.0% para 24.0%, uma queda de 6.5 pontos percentuais. Este movimento representa uma variação cerca de 4 vezes fora do padrão histórico deste contrato.Este contrato mede a confiança dos investidores na valorização extrema do Bitcoin em um horizonte de tempo específico. A queda na probabilidade sugere que o otimismo em relação a um salto tão expressivo no preço da criptomoeda diminuiu significativamente. Após o sinal, a probabilidade se recuperou ligeiramente para 28.5%. O contrato movimentou um volume total de US$ 13.211.425, mas, no final, o mercado errou a aposta.Para o mercado cripto brasileiro, a revisão para baixo das expectativas de que o Bitcoin vai atingir US$ 130.000 até o final de 2025, refletida na queda de 6.5 pontos percentuais, pode desacelerar a entrada de novos investidores. A percepção de um teto de preço mais baixo no curto a médio prazo pode levar a uma postura mais cautelosa entre os potenciais compradores.</t>
  </si>
  <si>
    <t>A probabilidade de o Ethereum cair a US$ 1.000 até o final do ano subiu drasticamente. De uma base de 17.5%, a chance de o Ethereum atingir esse patamar de preço disparou para 26.5%, uma variação de 8.5 pontos percentuais. Este movimento representa uma atividade cerca de 4 vezes fora do padrão histórico deste contrato.
Este contrato mede a expectativa do mercado sobre uma desvalorização significativa do Ethereum. A alta na probabilidade de queda pode indicar uma crescente cautela entre os investidores ou a percepção de fatores macroeconômicos que poderiam pressionar o preço da segunda maior criptomoeda. Com um volume negociado de US$ 3.105.396, o mercado demonstrou um interesse considerável neste cenário. Embora a probabilidade tenha se estabilizado em 25.0% três dias após o sinal, o mercado acabou errando a aposta, já que o Ethereum não atingiu US$ 1.000 até o final do ano.
Para investidores brasileiros, a alta de 8.5 pontos percentuais na probabilidade de queda do Ethereum pode refletir uma preocupação com a volatilidade do mercado cripto. Isso, por sua vez, sugere que alguns podem estar considerando a liquidação de posições alavancadas, especialmente aqueles que concentram seus portfólios em Bitcoin e Ethereum, buscando reduzir riscos em um cenário de incerteza.</t>
  </si>
  <si>
    <t>A probabilidade de o Bitcoin atingir US$ 150.000 até o final de 2025 subiu 5.0 pontos percentuais, passando de 30.5% para 36.5%. Este movimento representa uma variação cerca de 4 vezes fora do padrão histórico deste contrato, indicando uma mudança significativa na percepção dos investidores sobre o futuro da principal criptomoeda.Este contrato mede a confiança do mercado na valorização expressiva do Bitcoin nos próximos anos. A alta na probabilidade de atingir US$ 150.000 sugere que os investidores estão mais otimistas com o potencial de crescimento da criptomoeda. Após o sinal, a probabilidade continuou a subir, alcançando 38.5% três dias depois, o que pode refletir uma tendência de alta sustentada na confiança. Com um volume total negociado de US$ 16.414.060, o mercado demonstrou forte engajamento, mas, no final, a aposta de que o Bitcoin atingiria US$ 150.000 até o final de 2025 não se concretizou.Para o Brasil, a alta de 5.0 pontos percentuais na probabilidade de o Bitcoin atingir US$ 150.000 pode ser interpretada por investidores brasileiros — especialmente os cerca de 15 milhões com conta em exchanges nacionais — como uma validação de tendência de alta. Isso, por sua vez, pode impactar o volume de negociação doméstico, com um possível aumento na compra de Bitcoin por parte de quem busca aproveitar o que se percebe como um momento de valorização.</t>
  </si>
  <si>
    <t>A probabilidade de o Ethereum atingir US$ 6.000 até o final do ano caiu 6.0% em relação ao seu valor inicial, atingindo 18.5% após estar em 24.5% três dias antes, com uma variação de 6.0% não, mas caiu 6.0% não, a variação foi de 4.5% pontos percentuais. Essa mudança foi cerca de 4 vezes fora do padrão histórico deste contrato, indicando um movimento significativo no mercado.
Esse contrato mede a confiança dos investidores de que o Ethereum alcançará o valor de US$ 6.000 até o final do ano. A redução na probabilidade pode indicar que os investidores estão perdendo a confiança nesse cenário, o que sugere que o mercado está se tornando mais cético em relação ao desempenho do Ethereum. Com um volume total de US$ 9.995.564, esse contrato mostra que os investidores estão dispostos a apostar grandes somas em suas previsões. No entanto, como o resultado final mostrou que o mercado errou a aposta, isso pode apontar para uma falta de precisão nas previsões dos investidores.
A queda na probabilidade de o Ethereum atingir US$ 6.000 pode impactar o mercado de criptomoedas no Brasil, afetando a confiança dos investidores brasileiros em exchanges e regulação CVM. Além disso, a variação no valor do Ethereum pode influenciar o custo de importações e a inflação doméstica, uma vez que as flutuações nos preços das criptomoedas podem afetar a economia como um todo. Isso pode levar a uma maior volatilidade no mercado de criptomoedas e exigir uma regulação mais rigorosa por parte da CVM.</t>
  </si>
  <si>
    <t>A probabilidade de o Ethereum atingir US$ 7.000 até o final do ano caiu de 28.0% para 22.5%, uma variação de 5.5 pontos percentuais. Esse movimento foi cerca de 4 vezes fora do padrão histórico deste contrato, sinalizando uma revisão significativa nas expectativas do mercado.Este contrato mede a confiança dos investidores na valorização do Ethereum para um patamar elevado. A queda na probabilidade, que se estabilizou em 25.5% três dias depois do sinal, sugere que o mercado revisou para baixo suas projeções para a criptomoeda. Com um volume negociado de US$ 7.570.763, o movimento reflete uma mudança coletiva de percepção. No final, o mercado errou a aposta, já que o Ethereum não atingiu US$ 7.000.Para o mercado cripto brasileiro, essa revisão para baixo nas expectativas de um preço alto para o Ethereum pode desacelerar a entrada de novos investidores. A redução de 5.5 pontos percentuais na probabilidade de atingir US$ 7.000 aponta para um cenário onde o otimismo excessivo é contido, o que pode levar a uma postura mais cautelosa por parte de quem busca retornos rápidos em ativos digitais.</t>
  </si>
  <si>
    <t>Investidores mudaram rapidamente suas expectativas sobre a decisão do Federal Reserve. A probabilidade de que o Fed cortaria os juros em 50 pontos-base na reunião de novembro 2024 caiu de 44.0% para 38.5% em apenas três dias, uma variação cerca de 4 vezes maior do que o comportamento normal deste contrato.Este contrato mede a confiança do mercado em um corte agressivo de juros pelo banco central americano. A queda na probabilidade sugere que os investidores estão menos confiantes em uma flexibilização monetária tão significativa por parte do Fed, possivelmente reavaliando dados econômicos ou declarações de autoridades. Com um volume total negociado de US$ 8,393,268, o sinal teve liquidez considerável. No entanto, o mercado errou a aposta, já que o Fed não realizou o corte de 50 pontos-base na data.Para o Brasil, uma menor expectativa de cortes agressivos nos juros americanos pode significar pressões para o Banco Central brasileiro (Copom). Com o Fed mantendo uma postura mais cautelosa, o Copom pode ter menos espaço para acelerar seus próprios cortes de juros, impactando o custo do crédito e a valorização do real frente ao dólar.</t>
  </si>
  <si>
    <t>Investidores mudaram rapidamente suas apostas sobre "O Fed vai manter os juros sem alteração na reunião de novembro de 2024?". A probabilidade de o Federal Reserve não alterar as taxas de juros saltou de 19.0% para 34.5% em apenas um dia, um movimento cerca de 4 vezes maior do que o comportamento normal deste contrato.Este contrato mede a expectativa do mercado sobre a política monetária do banco central americano. O aumento súbito na probabilidade de manutenção dos juros pode indicar uma percepção de enfraquecimento da economia dos EUA ou uma postura mais cautelosa por parte do Fed, sugerindo que o ciclo de aperto monetário pode estar perdendo força. Com um volume total negociado de US$ 7,995,207, o sinal refletiu uma convicção relevante, embora, no final, o mercado tenha errado a aposta sobre a decisão do Fed.Para o Brasil, uma postura menos agressiva do Fed pode aliviar a pressão sobre o câmbio, permitindo que o Real se valorize ou sofra menos desvalorização frente ao dólar. Isso também pode dar mais flexibilidade ao Banco Central brasileiro para calibrar suas próprias decisões sobre a taxa Selic, potencialmente abrindo espaço para cortes futuros se a inflação interna permitir.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</si>
</sst>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3">
    <font>
      <sz val="11.0"/>
      <color theme="1"/>
      <name val="Calibri"/>
      <scheme val="minor"/>
    </font>
    <font>
      <b/>
      <sz val="10.0"/>
      <color rgb="FFFFFFFF"/>
      <name val="Arial"/>
    </font>
    <font>
      <color theme="1"/>
      <name val="Calibri"/>
      <scheme val="minor"/>
    </font>
    <font>
      <sz val="10.0"/>
      <color theme="1"/>
      <name val="Arial"/>
    </font>
    <font>
      <sz val="10.0"/>
      <color rgb="FFFF0000"/>
      <name val="Arial"/>
    </font>
    <font>
      <b/>
      <sz val="8.0"/>
      <color rgb="FFFFFFFF"/>
      <name val="Arial"/>
    </font>
    <font>
      <sz val="9.0"/>
      <color theme="1"/>
      <name val="Arial"/>
    </font>
    <font>
      <sz val="11.0"/>
      <color theme="1"/>
      <name val="Calibri"/>
    </font>
    <font>
      <b/>
      <sz val="9.0"/>
      <color rgb="FFFFFFFF"/>
      <name val="Arial"/>
    </font>
    <font/>
    <font>
      <b/>
      <sz val="8.0"/>
      <color theme="1"/>
      <name val="Arial"/>
    </font>
    <font>
      <sz val="8.0"/>
      <color theme="1"/>
      <name val="Arial"/>
    </font>
    <font>
      <b/>
      <sz val="10.0"/>
      <color theme="1"/>
      <name val="Arial"/>
    </font>
  </fonts>
  <fills count="14">
    <fill>
      <patternFill patternType="none"/>
    </fill>
    <fill>
      <patternFill patternType="lightGray"/>
    </fill>
    <fill>
      <patternFill patternType="solid">
        <fgColor rgb="FF1F3864"/>
        <bgColor rgb="FF1F3864"/>
      </patternFill>
    </fill>
    <fill>
      <patternFill patternType="solid">
        <fgColor rgb="FFE2EFDA"/>
        <bgColor rgb="FFE2EFDA"/>
      </patternFill>
    </fill>
    <fill>
      <patternFill patternType="solid">
        <fgColor rgb="FFFCE4D6"/>
        <bgColor rgb="FFFCE4D6"/>
      </patternFill>
    </fill>
    <fill>
      <patternFill patternType="solid">
        <fgColor rgb="FFDEEAF1"/>
        <bgColor rgb="FFDEEAF1"/>
      </patternFill>
    </fill>
    <fill>
      <patternFill patternType="solid">
        <fgColor rgb="FFFFF2CC"/>
        <bgColor rgb="FFFFF2CC"/>
      </patternFill>
    </fill>
    <fill>
      <patternFill patternType="solid">
        <fgColor rgb="FFFFFFFF"/>
        <bgColor rgb="FFFFFFFF"/>
      </patternFill>
    </fill>
    <fill>
      <patternFill patternType="solid">
        <fgColor rgb="FFFFEB9C"/>
        <bgColor rgb="FFFFEB9C"/>
      </patternFill>
    </fill>
    <fill>
      <patternFill patternType="solid">
        <fgColor rgb="FFC6EFCE"/>
        <bgColor rgb="FFC6EFCE"/>
      </patternFill>
    </fill>
    <fill>
      <patternFill patternType="solid">
        <fgColor rgb="FF9B2335"/>
        <bgColor rgb="FF9B2335"/>
      </patternFill>
    </fill>
    <fill>
      <patternFill patternType="solid">
        <fgColor rgb="FFFFF5F5"/>
        <bgColor rgb="FFFFF5F5"/>
      </patternFill>
    </fill>
    <fill>
      <patternFill patternType="solid">
        <fgColor rgb="FFFFEBEB"/>
        <bgColor rgb="FFFFEBEB"/>
      </patternFill>
    </fill>
    <fill>
      <patternFill patternType="solid">
        <fgColor rgb="FF2D3748"/>
        <bgColor rgb="FF2D3748"/>
      </patternFill>
    </fill>
  </fills>
  <borders count="10">
    <border/>
    <border>
      <left style="thin">
        <color rgb="FFCCCCCC"/>
      </left>
      <right style="thin">
        <color rgb="FFCCCCCC"/>
      </right>
      <top style="thin">
        <color rgb="FFCCCCCC"/>
      </top>
      <bottom style="thin">
        <color rgb="FFCCCCCC"/>
      </bottom>
    </border>
    <border>
      <left/>
      <right/>
      <top/>
      <bottom/>
    </border>
    <border>
      <left style="thin">
        <color rgb="FFCBD5E0"/>
      </left>
      <right style="thin">
        <color rgb="FFCBD5E0"/>
      </right>
      <top style="thin">
        <color rgb="FFCBD5E0"/>
      </top>
      <bottom style="thin">
        <color rgb="FFCBD5E0"/>
      </bottom>
    </border>
    <border>
      <left/>
      <top/>
      <bottom/>
    </border>
    <border>
      <top/>
      <bottom/>
    </border>
    <border>
      <right/>
      <top/>
      <bottom/>
    </border>
    <border>
      <left style="thin">
        <color rgb="FFCBD5E0"/>
      </left>
      <top style="thin">
        <color rgb="FFCBD5E0"/>
      </top>
      <bottom style="thin">
        <color rgb="FFCBD5E0"/>
      </bottom>
    </border>
    <border>
      <top style="thin">
        <color rgb="FFCBD5E0"/>
      </top>
      <bottom style="thin">
        <color rgb="FFCBD5E0"/>
      </bottom>
    </border>
    <border>
      <right/>
      <top style="thin">
        <color rgb="FFCBD5E0"/>
      </top>
      <bottom style="thin">
        <color rgb="FFCBD5E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readingOrder="0"/>
    </xf>
    <xf borderId="1" fillId="3" fontId="3" numFmtId="0" xfId="0" applyAlignment="1" applyBorder="1" applyFill="1" applyFont="1">
      <alignment horizontal="center" readingOrder="0" vertical="center"/>
    </xf>
    <xf borderId="1" fillId="3" fontId="3" numFmtId="0" xfId="0" applyAlignment="1" applyBorder="1" applyFont="1">
      <alignment horizontal="left" readingOrder="0" shrinkToFit="0" vertical="center" wrapText="1"/>
    </xf>
    <xf borderId="1" fillId="3" fontId="3" numFmtId="164" xfId="0" applyAlignment="1" applyBorder="1" applyFont="1" applyNumberFormat="1">
      <alignment horizontal="center" readingOrder="0" vertical="center"/>
    </xf>
    <xf borderId="1" fillId="4" fontId="3" numFmtId="0" xfId="0" applyAlignment="1" applyBorder="1" applyFill="1" applyFont="1">
      <alignment horizontal="center" readingOrder="0" vertical="center"/>
    </xf>
    <xf borderId="1" fillId="5" fontId="3" numFmtId="0" xfId="0" applyAlignment="1" applyBorder="1" applyFill="1" applyFont="1">
      <alignment horizontal="center" readingOrder="0" vertical="center"/>
    </xf>
    <xf borderId="1" fillId="6" fontId="3" numFmtId="0" xfId="0" applyAlignment="1" applyBorder="1" applyFill="1" applyFont="1">
      <alignment horizontal="center" readingOrder="0" vertical="center"/>
    </xf>
    <xf borderId="1" fillId="7" fontId="3" numFmtId="0" xfId="0" applyAlignment="1" applyBorder="1" applyFill="1" applyFont="1">
      <alignment horizontal="center" readingOrder="0" vertical="center"/>
    </xf>
    <xf borderId="1" fillId="7" fontId="3" numFmtId="0" xfId="0" applyAlignment="1" applyBorder="1" applyFont="1">
      <alignment horizontal="left" readingOrder="0" vertical="center"/>
    </xf>
    <xf borderId="1" fillId="5" fontId="3" numFmtId="0" xfId="0" applyAlignment="1" applyBorder="1" applyFont="1">
      <alignment horizontal="left" readingOrder="0" shrinkToFit="0" vertical="center" wrapText="1"/>
    </xf>
    <xf borderId="1" fillId="5" fontId="3" numFmtId="164" xfId="0" applyAlignment="1" applyBorder="1" applyFont="1" applyNumberFormat="1">
      <alignment horizontal="center" readingOrder="0" vertical="center"/>
    </xf>
    <xf borderId="1" fillId="8" fontId="3" numFmtId="0" xfId="0" applyAlignment="1" applyBorder="1" applyFill="1" applyFont="1">
      <alignment horizontal="center" readingOrder="0" vertical="center"/>
    </xf>
    <xf borderId="1" fillId="9" fontId="3" numFmtId="0" xfId="0" applyAlignment="1" applyBorder="1" applyFill="1" applyFont="1">
      <alignment horizontal="center" readingOrder="0" vertical="center"/>
    </xf>
    <xf borderId="1" fillId="5" fontId="4" numFmtId="0" xfId="0" applyAlignment="1" applyBorder="1" applyFont="1">
      <alignment horizontal="center" readingOrder="0" vertical="center"/>
    </xf>
    <xf borderId="1" fillId="3" fontId="4" numFmtId="0" xfId="0" applyAlignment="1" applyBorder="1" applyFont="1">
      <alignment horizontal="center" readingOrder="0" vertical="center"/>
    </xf>
    <xf borderId="1" fillId="6" fontId="4" numFmtId="0" xfId="0" applyAlignment="1" applyBorder="1" applyFont="1">
      <alignment horizontal="center" readingOrder="0" vertical="center"/>
    </xf>
    <xf borderId="1" fillId="4" fontId="4" numFmtId="0" xfId="0" applyAlignment="1" applyBorder="1" applyFont="1">
      <alignment horizontal="center" readingOrder="0" vertical="center"/>
    </xf>
    <xf borderId="2" fillId="2" fontId="1" numFmtId="0" xfId="0" applyBorder="1" applyFont="1"/>
    <xf borderId="1" fillId="2" fontId="1" numFmtId="2" xfId="0" applyAlignment="1" applyBorder="1" applyFont="1" applyNumberFormat="1">
      <alignment horizontal="center" vertical="center"/>
    </xf>
    <xf borderId="3" fillId="10" fontId="5" numFmtId="0" xfId="0" applyAlignment="1" applyBorder="1" applyFill="1" applyFont="1">
      <alignment horizontal="center" shrinkToFit="0" wrapText="1"/>
    </xf>
    <xf borderId="3" fillId="10" fontId="5" numFmtId="0" xfId="0" applyAlignment="1" applyBorder="1" applyFont="1">
      <alignment horizontal="center" shrinkToFit="0" wrapText="0"/>
    </xf>
    <xf borderId="3" fillId="11" fontId="6" numFmtId="0" xfId="0" applyAlignment="1" applyBorder="1" applyFill="1" applyFont="1">
      <alignment horizontal="right" readingOrder="0"/>
    </xf>
    <xf borderId="3" fillId="11" fontId="6" numFmtId="0" xfId="0" applyAlignment="1" applyBorder="1" applyFont="1">
      <alignment readingOrder="0"/>
    </xf>
    <xf borderId="3" fillId="11" fontId="6" numFmtId="164" xfId="0" applyAlignment="1" applyBorder="1" applyFont="1" applyNumberFormat="1">
      <alignment readingOrder="0"/>
    </xf>
    <xf borderId="3" fillId="11" fontId="6" numFmtId="0" xfId="0" applyAlignment="1" applyBorder="1" applyFont="1">
      <alignment readingOrder="0" shrinkToFit="0" wrapText="1"/>
    </xf>
    <xf borderId="3" fillId="11" fontId="6" numFmtId="0" xfId="0" applyAlignment="1" applyBorder="1" applyFont="1">
      <alignment horizontal="center" readingOrder="0"/>
    </xf>
    <xf borderId="3" fillId="11" fontId="7" numFmtId="0" xfId="0" applyAlignment="1" applyBorder="1" applyFont="1">
      <alignment readingOrder="0"/>
    </xf>
    <xf borderId="3" fillId="11" fontId="6" numFmtId="0" xfId="0" applyAlignment="1" applyBorder="1" applyFont="1">
      <alignment readingOrder="0" shrinkToFit="0" wrapText="0"/>
    </xf>
    <xf borderId="3" fillId="12" fontId="6" numFmtId="0" xfId="0" applyAlignment="1" applyBorder="1" applyFill="1" applyFont="1">
      <alignment horizontal="right" readingOrder="0"/>
    </xf>
    <xf borderId="3" fillId="12" fontId="6" numFmtId="0" xfId="0" applyAlignment="1" applyBorder="1" applyFont="1">
      <alignment readingOrder="0"/>
    </xf>
    <xf borderId="3" fillId="12" fontId="6" numFmtId="164" xfId="0" applyAlignment="1" applyBorder="1" applyFont="1" applyNumberFormat="1">
      <alignment readingOrder="0"/>
    </xf>
    <xf borderId="3" fillId="12" fontId="6" numFmtId="0" xfId="0" applyAlignment="1" applyBorder="1" applyFont="1">
      <alignment readingOrder="0" shrinkToFit="0" wrapText="1"/>
    </xf>
    <xf borderId="3" fillId="12" fontId="6" numFmtId="0" xfId="0" applyAlignment="1" applyBorder="1" applyFont="1">
      <alignment horizontal="center" readingOrder="0"/>
    </xf>
    <xf borderId="3" fillId="12" fontId="7" numFmtId="0" xfId="0" applyAlignment="1" applyBorder="1" applyFont="1">
      <alignment readingOrder="0"/>
    </xf>
    <xf borderId="3" fillId="12" fontId="6" numFmtId="0" xfId="0" applyAlignment="1" applyBorder="1" applyFont="1">
      <alignment readingOrder="0" shrinkToFit="0" wrapText="0"/>
    </xf>
    <xf borderId="3" fillId="12" fontId="7" numFmtId="164" xfId="0" applyAlignment="1" applyBorder="1" applyFont="1" applyNumberFormat="1">
      <alignment readingOrder="0"/>
    </xf>
    <xf borderId="3" fillId="11" fontId="7" numFmtId="164" xfId="0" applyAlignment="1" applyBorder="1" applyFont="1" applyNumberFormat="1">
      <alignment readingOrder="0"/>
    </xf>
    <xf borderId="3" fillId="11" fontId="6" numFmtId="0" xfId="0" applyAlignment="1" applyBorder="1" applyFont="1">
      <alignment horizontal="right"/>
    </xf>
    <xf borderId="3" fillId="11" fontId="7" numFmtId="0" xfId="0" applyBorder="1" applyFont="1"/>
    <xf borderId="3" fillId="11" fontId="7" numFmtId="0" xfId="0" applyAlignment="1" applyBorder="1" applyFont="1">
      <alignment shrinkToFit="0" wrapText="0"/>
    </xf>
    <xf borderId="3" fillId="12" fontId="6" numFmtId="0" xfId="0" applyAlignment="1" applyBorder="1" applyFont="1">
      <alignment horizontal="right"/>
    </xf>
    <xf borderId="3" fillId="12" fontId="7" numFmtId="0" xfId="0" applyBorder="1" applyFont="1"/>
    <xf borderId="3" fillId="12" fontId="7" numFmtId="0" xfId="0" applyAlignment="1" applyBorder="1" applyFont="1">
      <alignment shrinkToFit="0" wrapText="0"/>
    </xf>
    <xf borderId="0" fillId="0" fontId="7" numFmtId="0" xfId="0" applyAlignment="1" applyFont="1">
      <alignment vertical="bottom"/>
    </xf>
    <xf borderId="0" fillId="0" fontId="7" numFmtId="0" xfId="0" applyAlignment="1" applyFont="1">
      <alignment shrinkToFit="0" vertical="bottom" wrapText="0"/>
    </xf>
    <xf borderId="4" fillId="13" fontId="8" numFmtId="0" xfId="0" applyAlignment="1" applyBorder="1" applyFill="1" applyFont="1">
      <alignment horizontal="center"/>
    </xf>
    <xf borderId="5" fillId="0" fontId="9" numFmtId="0" xfId="0" applyBorder="1" applyFont="1"/>
    <xf borderId="6" fillId="0" fontId="9" numFmtId="0" xfId="0" applyBorder="1" applyFont="1"/>
    <xf borderId="3" fillId="11" fontId="10" numFmtId="0" xfId="0" applyAlignment="1" applyBorder="1" applyFont="1">
      <alignment shrinkToFit="0" wrapText="1"/>
    </xf>
    <xf borderId="7" fillId="11" fontId="11" numFmtId="0" xfId="0" applyAlignment="1" applyBorder="1" applyFont="1">
      <alignment readingOrder="0" shrinkToFit="0" wrapText="1"/>
    </xf>
    <xf borderId="8" fillId="0" fontId="9" numFmtId="0" xfId="0" applyBorder="1" applyFont="1"/>
    <xf borderId="9" fillId="0" fontId="9" numFmtId="0" xfId="0" applyBorder="1" applyFont="1"/>
    <xf borderId="7" fillId="11" fontId="11" numFmtId="0" xfId="0" applyAlignment="1" applyBorder="1" applyFont="1">
      <alignment shrinkToFit="0" wrapText="1"/>
    </xf>
    <xf borderId="0" fillId="0" fontId="2" numFmtId="0" xfId="0" applyAlignment="1" applyFont="1">
      <alignment shrinkToFit="0" wrapText="0"/>
    </xf>
    <xf borderId="1" fillId="5" fontId="12" numFmtId="0" xfId="0" applyAlignment="1" applyBorder="1" applyFont="1">
      <alignment horizontal="left" shrinkToFit="0" vertical="top" wrapText="1"/>
    </xf>
    <xf borderId="1" fillId="5" fontId="3" numFmtId="0" xfId="0" applyAlignment="1" applyBorder="1" applyFont="1">
      <alignment horizontal="left" shrinkToFit="0" vertical="top" wrapText="1"/>
    </xf>
    <xf borderId="1" fillId="5" fontId="3" numFmtId="0" xfId="0" applyAlignment="1" applyBorder="1" applyFont="1">
      <alignment horizontal="left" readingOrder="0" shrinkToFit="0" vertical="top" wrapText="1"/>
    </xf>
    <xf borderId="1" fillId="3" fontId="12" numFmtId="0" xfId="0" applyAlignment="1" applyBorder="1" applyFont="1">
      <alignment horizontal="left" shrinkToFit="0" vertical="top" wrapText="1"/>
    </xf>
    <xf borderId="1" fillId="3" fontId="3" numFmtId="0" xfId="0" applyAlignment="1" applyBorder="1" applyFont="1">
      <alignment horizontal="left" shrinkToFit="0" vertical="top" wrapText="1"/>
    </xf>
    <xf borderId="1" fillId="3" fontId="3" numFmtId="0" xfId="0" applyAlignment="1" applyBorder="1" applyFont="1">
      <alignment horizontal="left" readingOrder="0" shrinkToFit="0" vertical="top" wrapText="1"/>
    </xf>
    <xf borderId="1" fillId="6" fontId="12" numFmtId="0" xfId="0" applyAlignment="1" applyBorder="1" applyFont="1">
      <alignment horizontal="left" shrinkToFit="0" vertical="top" wrapText="1"/>
    </xf>
    <xf borderId="1" fillId="6" fontId="3" numFmtId="0" xfId="0" applyAlignment="1" applyBorder="1" applyFont="1">
      <alignment horizontal="left" shrinkToFit="0" vertical="top" wrapText="1"/>
    </xf>
    <xf borderId="1" fillId="6" fontId="3" numFmtId="0" xfId="0" applyAlignment="1" applyBorder="1" applyFont="1">
      <alignment horizontal="left" readingOrder="0" shrinkToFit="0" vertical="top" wrapText="1"/>
    </xf>
    <xf borderId="1" fillId="4" fontId="12" numFmtId="0" xfId="0" applyAlignment="1" applyBorder="1" applyFont="1">
      <alignment horizontal="left" shrinkToFit="0" vertical="top" wrapText="1"/>
    </xf>
    <xf borderId="1" fillId="4" fontId="3" numFmtId="0" xfId="0" applyAlignment="1" applyBorder="1" applyFont="1">
      <alignment horizontal="left" shrinkToFit="0" vertical="top" wrapText="1"/>
    </xf>
    <xf borderId="1" fillId="4" fontId="3" numFmtId="0" xfId="0" applyAlignment="1" applyBorder="1" applyFont="1">
      <alignment horizontal="left" readingOrder="0" shrinkToFit="0" vertical="top" wrapText="1"/>
    </xf>
    <xf borderId="0" fillId="0" fontId="2" numFmtId="0" xfId="0" applyFont="1"/>
    <xf borderId="1" fillId="3" fontId="3" numFmtId="0" xfId="0" applyAlignment="1" applyBorder="1" applyFont="1">
      <alignment horizontal="center" shrinkToFit="0" vertical="top" wrapText="1"/>
    </xf>
    <xf borderId="1" fillId="5" fontId="3" numFmtId="0" xfId="0" applyAlignment="1" applyBorder="1" applyFont="1">
      <alignment horizontal="center" shrinkToFit="0" vertical="top" wrapText="1"/>
    </xf>
    <xf borderId="1" fillId="3" fontId="3"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5.0"/>
    <col customWidth="1" min="2" max="2" width="17.57"/>
    <col customWidth="1" min="3" max="3" width="8.0"/>
    <col customWidth="1" min="4" max="4" width="42.0"/>
    <col customWidth="1" min="5" max="6" width="15.57"/>
    <col customWidth="1" min="7" max="8" width="7.0"/>
    <col customWidth="1" min="9" max="12" width="8.0"/>
    <col customWidth="1" min="13" max="13" width="9.0"/>
    <col customWidth="1" min="14" max="17" width="8.0"/>
    <col customWidth="1" min="18" max="18" width="9.0"/>
    <col customWidth="1" min="19" max="22" width="7.0"/>
    <col customWidth="1" min="23" max="24" width="9.0"/>
    <col customWidth="1" min="25" max="25" width="32.0"/>
    <col customWidth="1" min="26" max="27" width="8.71"/>
  </cols>
  <sheetData>
    <row r="1" ht="51.75" customHeight="1">
      <c r="A1" s="1" t="s">
        <v>0</v>
      </c>
      <c r="B1" s="1" t="s">
        <v>1</v>
      </c>
      <c r="C1" s="1" t="s">
        <v>2</v>
      </c>
      <c r="D1" s="1" t="s">
        <v>3</v>
      </c>
      <c r="E1" s="1" t="s">
        <v>4</v>
      </c>
      <c r="F1" s="1" t="s">
        <v>5</v>
      </c>
      <c r="G1" s="1" t="s">
        <v>6</v>
      </c>
      <c r="H1" s="1" t="s">
        <v>7</v>
      </c>
      <c r="I1" s="1" t="s">
        <v>8</v>
      </c>
      <c r="J1" s="2"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3" t="s">
        <v>25</v>
      </c>
    </row>
    <row r="2" ht="30.0" hidden="1" customHeight="1">
      <c r="A2" s="4">
        <v>1.0</v>
      </c>
      <c r="B2" s="4" t="s">
        <v>26</v>
      </c>
      <c r="C2" s="4" t="s">
        <v>27</v>
      </c>
      <c r="D2" s="5" t="s">
        <v>28</v>
      </c>
      <c r="E2" s="4" t="s">
        <v>29</v>
      </c>
      <c r="F2" s="6">
        <v>46164.0</v>
      </c>
      <c r="G2" s="4">
        <v>-3.81</v>
      </c>
      <c r="H2" s="4">
        <v>-5.0</v>
      </c>
      <c r="I2" s="4">
        <v>15.5</v>
      </c>
      <c r="J2" s="4">
        <v>10.5</v>
      </c>
      <c r="K2" s="4">
        <v>5.0</v>
      </c>
      <c r="L2" s="4">
        <v>8.59</v>
      </c>
      <c r="M2" s="7" t="s">
        <v>30</v>
      </c>
      <c r="N2" s="8">
        <v>2.0</v>
      </c>
      <c r="O2" s="4">
        <v>3.0</v>
      </c>
      <c r="P2" s="9">
        <v>0.0</v>
      </c>
      <c r="Q2" s="7">
        <v>3.0</v>
      </c>
      <c r="R2" s="9">
        <v>8.0</v>
      </c>
      <c r="S2" s="8">
        <v>1.0</v>
      </c>
      <c r="T2" s="4">
        <v>3.0</v>
      </c>
      <c r="U2" s="9">
        <v>0.0</v>
      </c>
      <c r="V2" s="7">
        <v>3.0</v>
      </c>
      <c r="W2" s="9">
        <v>7.0</v>
      </c>
      <c r="X2" s="10" t="s">
        <v>31</v>
      </c>
      <c r="Y2" s="11" t="s">
        <v>32</v>
      </c>
      <c r="Z2" s="3">
        <v>2.0</v>
      </c>
    </row>
    <row r="3" ht="30.0" hidden="1" customHeight="1">
      <c r="A3" s="8">
        <v>2.0</v>
      </c>
      <c r="B3" s="8" t="s">
        <v>33</v>
      </c>
      <c r="C3" s="8" t="s">
        <v>34</v>
      </c>
      <c r="D3" s="12" t="s">
        <v>35</v>
      </c>
      <c r="E3" s="8" t="s">
        <v>29</v>
      </c>
      <c r="F3" s="13">
        <v>46157.0</v>
      </c>
      <c r="G3" s="8">
        <v>-3.71</v>
      </c>
      <c r="H3" s="8">
        <v>-5.2</v>
      </c>
      <c r="I3" s="8">
        <v>72.0</v>
      </c>
      <c r="J3" s="8">
        <v>67.0</v>
      </c>
      <c r="K3" s="4">
        <v>5.0</v>
      </c>
      <c r="L3" s="8">
        <v>4.55</v>
      </c>
      <c r="M3" s="7" t="s">
        <v>30</v>
      </c>
      <c r="N3" s="8">
        <v>2.0</v>
      </c>
      <c r="O3" s="4">
        <v>2.0</v>
      </c>
      <c r="P3" s="9">
        <v>3.0</v>
      </c>
      <c r="Q3" s="7">
        <v>3.0</v>
      </c>
      <c r="R3" s="9">
        <v>10.0</v>
      </c>
      <c r="S3" s="8">
        <v>3.0</v>
      </c>
      <c r="T3" s="4">
        <v>3.0</v>
      </c>
      <c r="U3" s="9">
        <v>3.0</v>
      </c>
      <c r="V3" s="7">
        <v>3.0</v>
      </c>
      <c r="W3" s="9">
        <v>12.0</v>
      </c>
      <c r="X3" s="10" t="s">
        <v>31</v>
      </c>
      <c r="Y3" s="11" t="s">
        <v>36</v>
      </c>
      <c r="Z3" s="3">
        <v>2.0</v>
      </c>
    </row>
    <row r="4" ht="30.0" hidden="1" customHeight="1">
      <c r="A4" s="8">
        <v>3.0</v>
      </c>
      <c r="B4" s="8" t="s">
        <v>37</v>
      </c>
      <c r="C4" s="8" t="s">
        <v>34</v>
      </c>
      <c r="D4" s="12" t="s">
        <v>38</v>
      </c>
      <c r="E4" s="8" t="s">
        <v>29</v>
      </c>
      <c r="F4" s="13">
        <v>46099.0</v>
      </c>
      <c r="G4" s="8">
        <v>-3.77</v>
      </c>
      <c r="H4" s="8">
        <v>-14.0</v>
      </c>
      <c r="I4" s="8">
        <v>27.5</v>
      </c>
      <c r="J4" s="8">
        <v>9.5</v>
      </c>
      <c r="K4" s="4">
        <v>18.0</v>
      </c>
      <c r="L4" s="8">
        <v>9.43</v>
      </c>
      <c r="M4" s="7" t="s">
        <v>30</v>
      </c>
      <c r="N4" s="8">
        <v>2.0</v>
      </c>
      <c r="O4" s="4">
        <v>2.0</v>
      </c>
      <c r="P4" s="9">
        <v>3.0</v>
      </c>
      <c r="Q4" s="7">
        <v>3.0</v>
      </c>
      <c r="R4" s="9">
        <v>10.0</v>
      </c>
      <c r="S4" s="8">
        <v>3.0</v>
      </c>
      <c r="T4" s="4">
        <v>3.0</v>
      </c>
      <c r="U4" s="9">
        <v>3.0</v>
      </c>
      <c r="V4" s="7">
        <v>3.0</v>
      </c>
      <c r="W4" s="9">
        <v>12.0</v>
      </c>
      <c r="X4" s="10" t="s">
        <v>31</v>
      </c>
      <c r="Y4" s="11" t="s">
        <v>36</v>
      </c>
      <c r="Z4" s="3">
        <v>2.0</v>
      </c>
    </row>
    <row r="5" ht="30.0" customHeight="1">
      <c r="A5" s="4">
        <v>4.0</v>
      </c>
      <c r="B5" s="4" t="s">
        <v>39</v>
      </c>
      <c r="C5" s="4" t="s">
        <v>27</v>
      </c>
      <c r="D5" s="5" t="s">
        <v>40</v>
      </c>
      <c r="E5" s="4" t="s">
        <v>29</v>
      </c>
      <c r="F5" s="6">
        <v>46076.0</v>
      </c>
      <c r="G5" s="4">
        <v>3.7</v>
      </c>
      <c r="H5" s="4">
        <v>28.5</v>
      </c>
      <c r="I5" s="4">
        <v>15.0</v>
      </c>
      <c r="J5" s="4">
        <v>26.0</v>
      </c>
      <c r="K5" s="4">
        <v>-11.0</v>
      </c>
      <c r="L5" s="4">
        <v>7.28</v>
      </c>
      <c r="M5" s="14" t="s">
        <v>41</v>
      </c>
      <c r="N5" s="8">
        <v>0.0</v>
      </c>
      <c r="O5" s="4">
        <v>2.0</v>
      </c>
      <c r="P5" s="9">
        <v>1.0</v>
      </c>
      <c r="Q5" s="7">
        <v>3.0</v>
      </c>
      <c r="R5" s="9">
        <v>6.0</v>
      </c>
      <c r="S5" s="8">
        <v>1.0</v>
      </c>
      <c r="T5" s="4">
        <v>3.0</v>
      </c>
      <c r="U5" s="9">
        <v>2.0</v>
      </c>
      <c r="V5" s="7">
        <v>2.0</v>
      </c>
      <c r="W5" s="9">
        <v>8.0</v>
      </c>
      <c r="X5" s="10" t="s">
        <v>31</v>
      </c>
      <c r="Y5" s="11" t="s">
        <v>42</v>
      </c>
      <c r="Z5" s="3">
        <v>2.0</v>
      </c>
    </row>
    <row r="6" ht="30.0" hidden="1" customHeight="1">
      <c r="A6" s="4">
        <v>5.0</v>
      </c>
      <c r="B6" s="4" t="s">
        <v>43</v>
      </c>
      <c r="C6" s="4" t="s">
        <v>27</v>
      </c>
      <c r="D6" s="5" t="s">
        <v>44</v>
      </c>
      <c r="E6" s="4" t="s">
        <v>29</v>
      </c>
      <c r="F6" s="6">
        <v>46069.0</v>
      </c>
      <c r="G6" s="4">
        <v>3.77</v>
      </c>
      <c r="H6" s="4">
        <v>3.9</v>
      </c>
      <c r="I6" s="4">
        <v>7.3</v>
      </c>
      <c r="J6" s="4">
        <v>9.6</v>
      </c>
      <c r="K6" s="4">
        <v>-2.3</v>
      </c>
      <c r="L6" s="4">
        <v>4.79</v>
      </c>
      <c r="M6" s="7" t="s">
        <v>30</v>
      </c>
      <c r="N6" s="8">
        <v>3.0</v>
      </c>
      <c r="O6" s="4">
        <v>2.0</v>
      </c>
      <c r="P6" s="9">
        <v>3.0</v>
      </c>
      <c r="Q6" s="7">
        <v>3.0</v>
      </c>
      <c r="R6" s="9">
        <v>11.0</v>
      </c>
      <c r="S6" s="8">
        <v>3.0</v>
      </c>
      <c r="T6" s="4">
        <v>3.0</v>
      </c>
      <c r="U6" s="9">
        <v>3.0</v>
      </c>
      <c r="V6" s="7">
        <v>2.0</v>
      </c>
      <c r="W6" s="9">
        <v>11.0</v>
      </c>
      <c r="X6" s="10" t="s">
        <v>31</v>
      </c>
      <c r="Y6" s="11" t="s">
        <v>45</v>
      </c>
      <c r="Z6" s="3">
        <v>2.0</v>
      </c>
    </row>
    <row r="7" ht="30.0" customHeight="1">
      <c r="A7" s="8">
        <v>6.0</v>
      </c>
      <c r="B7" s="8" t="s">
        <v>46</v>
      </c>
      <c r="C7" s="8" t="s">
        <v>34</v>
      </c>
      <c r="D7" s="12" t="s">
        <v>47</v>
      </c>
      <c r="E7" s="8" t="s">
        <v>48</v>
      </c>
      <c r="F7" s="13">
        <v>46058.0</v>
      </c>
      <c r="G7" s="8">
        <v>3.73</v>
      </c>
      <c r="H7" s="8">
        <v>8.0</v>
      </c>
      <c r="I7" s="8">
        <v>7.5</v>
      </c>
      <c r="J7" s="8">
        <v>17.5</v>
      </c>
      <c r="K7" s="4">
        <v>-10.0</v>
      </c>
      <c r="L7" s="8">
        <v>87.1</v>
      </c>
      <c r="M7" s="14" t="s">
        <v>41</v>
      </c>
      <c r="N7" s="8">
        <v>2.0</v>
      </c>
      <c r="O7" s="4">
        <v>2.0</v>
      </c>
      <c r="P7" s="9">
        <v>3.0</v>
      </c>
      <c r="Q7" s="7">
        <v>2.0</v>
      </c>
      <c r="R7" s="9">
        <v>9.0</v>
      </c>
      <c r="S7" s="8">
        <v>2.0</v>
      </c>
      <c r="T7" s="4">
        <v>1.0</v>
      </c>
      <c r="U7" s="9">
        <v>3.0</v>
      </c>
      <c r="V7" s="7">
        <v>2.0</v>
      </c>
      <c r="W7" s="9">
        <v>8.0</v>
      </c>
      <c r="X7" s="10" t="s">
        <v>31</v>
      </c>
      <c r="Y7" s="11" t="s">
        <v>49</v>
      </c>
      <c r="Z7" s="3">
        <v>2.0</v>
      </c>
    </row>
    <row r="8" ht="30.0" customHeight="1">
      <c r="A8" s="4">
        <v>7.0</v>
      </c>
      <c r="B8" s="4" t="s">
        <v>50</v>
      </c>
      <c r="C8" s="4" t="s">
        <v>27</v>
      </c>
      <c r="D8" s="5" t="s">
        <v>51</v>
      </c>
      <c r="E8" s="4" t="s">
        <v>48</v>
      </c>
      <c r="F8" s="6">
        <v>46058.0</v>
      </c>
      <c r="G8" s="4">
        <v>3.7</v>
      </c>
      <c r="H8" s="4">
        <v>3.7</v>
      </c>
      <c r="I8" s="4">
        <v>3.4</v>
      </c>
      <c r="J8" s="4">
        <v>12.0</v>
      </c>
      <c r="K8" s="4">
        <v>-8.6</v>
      </c>
      <c r="L8" s="4">
        <v>3.71</v>
      </c>
      <c r="M8" s="14" t="s">
        <v>41</v>
      </c>
      <c r="N8" s="8">
        <v>3.0</v>
      </c>
      <c r="O8" s="4">
        <v>2.0</v>
      </c>
      <c r="P8" s="9">
        <v>0.0</v>
      </c>
      <c r="Q8" s="7">
        <v>3.0</v>
      </c>
      <c r="R8" s="9">
        <v>8.0</v>
      </c>
      <c r="S8" s="8">
        <v>3.0</v>
      </c>
      <c r="T8" s="4">
        <v>3.0</v>
      </c>
      <c r="U8" s="9">
        <v>2.0</v>
      </c>
      <c r="V8" s="7">
        <v>2.0</v>
      </c>
      <c r="W8" s="9">
        <v>10.0</v>
      </c>
      <c r="X8" s="10" t="s">
        <v>31</v>
      </c>
      <c r="Y8" s="11" t="s">
        <v>52</v>
      </c>
      <c r="Z8" s="3">
        <v>2.0</v>
      </c>
    </row>
    <row r="9" ht="30.0" customHeight="1">
      <c r="A9" s="4">
        <v>8.0</v>
      </c>
      <c r="B9" s="4" t="s">
        <v>53</v>
      </c>
      <c r="C9" s="4" t="s">
        <v>27</v>
      </c>
      <c r="D9" s="5" t="s">
        <v>54</v>
      </c>
      <c r="E9" s="4" t="s">
        <v>29</v>
      </c>
      <c r="F9" s="6">
        <v>46051.0</v>
      </c>
      <c r="G9" s="4">
        <v>3.74</v>
      </c>
      <c r="H9" s="4">
        <v>80.3</v>
      </c>
      <c r="I9" s="4">
        <v>21.5</v>
      </c>
      <c r="J9" s="4">
        <v>99.9</v>
      </c>
      <c r="K9" s="4">
        <v>-78.4</v>
      </c>
      <c r="L9" s="4">
        <v>8.58</v>
      </c>
      <c r="M9" s="15" t="s">
        <v>55</v>
      </c>
      <c r="N9" s="8">
        <v>2.0</v>
      </c>
      <c r="O9" s="4">
        <v>2.0</v>
      </c>
      <c r="P9" s="9">
        <v>0.0</v>
      </c>
      <c r="Q9" s="7">
        <v>3.0</v>
      </c>
      <c r="R9" s="9">
        <v>7.0</v>
      </c>
      <c r="S9" s="8">
        <v>3.0</v>
      </c>
      <c r="T9" s="4">
        <v>3.0</v>
      </c>
      <c r="U9" s="9">
        <v>2.0</v>
      </c>
      <c r="V9" s="7">
        <v>1.0</v>
      </c>
      <c r="W9" s="9">
        <v>9.0</v>
      </c>
      <c r="X9" s="10" t="s">
        <v>56</v>
      </c>
      <c r="Y9" s="11" t="s">
        <v>57</v>
      </c>
      <c r="Z9" s="3">
        <v>2.0</v>
      </c>
    </row>
    <row r="10" ht="30.0" hidden="1" customHeight="1">
      <c r="A10" s="4">
        <v>9.0</v>
      </c>
      <c r="B10" s="4" t="s">
        <v>58</v>
      </c>
      <c r="C10" s="4" t="s">
        <v>27</v>
      </c>
      <c r="D10" s="5" t="s">
        <v>59</v>
      </c>
      <c r="E10" s="4" t="s">
        <v>48</v>
      </c>
      <c r="F10" s="6">
        <v>46033.0</v>
      </c>
      <c r="G10" s="4">
        <v>-3.7</v>
      </c>
      <c r="H10" s="4">
        <v>-4.5</v>
      </c>
      <c r="I10" s="4">
        <v>66.0</v>
      </c>
      <c r="J10" s="4">
        <v>62.2</v>
      </c>
      <c r="K10" s="4">
        <v>3.8</v>
      </c>
      <c r="L10" s="4">
        <v>0.98</v>
      </c>
      <c r="M10" s="7" t="s">
        <v>30</v>
      </c>
      <c r="N10" s="8">
        <v>3.0</v>
      </c>
      <c r="O10" s="4">
        <v>2.0</v>
      </c>
      <c r="P10" s="9">
        <v>0.0</v>
      </c>
      <c r="Q10" s="7">
        <v>3.0</v>
      </c>
      <c r="R10" s="9">
        <v>8.0</v>
      </c>
      <c r="S10" s="8">
        <v>3.0</v>
      </c>
      <c r="T10" s="4">
        <v>3.0</v>
      </c>
      <c r="U10" s="9">
        <v>2.0</v>
      </c>
      <c r="V10" s="7">
        <v>2.0</v>
      </c>
      <c r="W10" s="9">
        <v>10.0</v>
      </c>
      <c r="X10" s="10" t="s">
        <v>31</v>
      </c>
      <c r="Y10" s="11" t="s">
        <v>60</v>
      </c>
      <c r="Z10" s="3">
        <v>2.0</v>
      </c>
    </row>
    <row r="11" ht="30.0" customHeight="1">
      <c r="A11" s="8">
        <v>10.0</v>
      </c>
      <c r="B11" s="8" t="s">
        <v>61</v>
      </c>
      <c r="C11" s="8" t="s">
        <v>34</v>
      </c>
      <c r="D11" s="12" t="s">
        <v>62</v>
      </c>
      <c r="E11" s="8" t="s">
        <v>63</v>
      </c>
      <c r="F11" s="13">
        <v>46031.0</v>
      </c>
      <c r="G11" s="8">
        <v>3.67</v>
      </c>
      <c r="H11" s="8">
        <v>4.2</v>
      </c>
      <c r="I11" s="8">
        <v>4.4</v>
      </c>
      <c r="J11" s="8">
        <v>6.7</v>
      </c>
      <c r="K11" s="4">
        <v>-2.3</v>
      </c>
      <c r="L11" s="8">
        <v>66.03</v>
      </c>
      <c r="M11" s="14" t="s">
        <v>41</v>
      </c>
      <c r="N11" s="8">
        <v>2.0</v>
      </c>
      <c r="O11" s="4">
        <v>2.0</v>
      </c>
      <c r="P11" s="9">
        <v>2.0</v>
      </c>
      <c r="Q11" s="7">
        <v>3.0</v>
      </c>
      <c r="R11" s="9">
        <v>9.0</v>
      </c>
      <c r="S11" s="8">
        <v>2.0</v>
      </c>
      <c r="T11" s="4">
        <v>3.0</v>
      </c>
      <c r="U11" s="9">
        <v>3.0</v>
      </c>
      <c r="V11" s="7">
        <v>0.0</v>
      </c>
      <c r="W11" s="9">
        <v>8.0</v>
      </c>
      <c r="X11" s="10" t="s">
        <v>31</v>
      </c>
      <c r="Y11" s="11" t="s">
        <v>64</v>
      </c>
      <c r="Z11" s="3">
        <v>2.0</v>
      </c>
    </row>
    <row r="12" ht="30.0" customHeight="1">
      <c r="A12" s="4">
        <v>11.0</v>
      </c>
      <c r="B12" s="4" t="s">
        <v>65</v>
      </c>
      <c r="C12" s="4" t="s">
        <v>27</v>
      </c>
      <c r="D12" s="5" t="s">
        <v>66</v>
      </c>
      <c r="E12" s="4" t="s">
        <v>29</v>
      </c>
      <c r="F12" s="6">
        <v>46027.0</v>
      </c>
      <c r="G12" s="4">
        <v>3.64</v>
      </c>
      <c r="H12" s="4">
        <v>10.5</v>
      </c>
      <c r="I12" s="4">
        <v>71.0</v>
      </c>
      <c r="J12" s="4">
        <v>78.5</v>
      </c>
      <c r="K12" s="4">
        <v>-7.5</v>
      </c>
      <c r="L12" s="4">
        <v>2.24</v>
      </c>
      <c r="M12" s="15" t="s">
        <v>55</v>
      </c>
      <c r="N12" s="8">
        <v>3.0</v>
      </c>
      <c r="O12" s="4">
        <v>2.0</v>
      </c>
      <c r="P12" s="9">
        <v>3.0</v>
      </c>
      <c r="Q12" s="7">
        <v>3.0</v>
      </c>
      <c r="R12" s="9">
        <v>11.0</v>
      </c>
      <c r="S12" s="8">
        <v>3.0</v>
      </c>
      <c r="T12" s="4">
        <v>3.0</v>
      </c>
      <c r="U12" s="9">
        <v>3.0</v>
      </c>
      <c r="V12" s="7">
        <v>2.0</v>
      </c>
      <c r="W12" s="9">
        <v>11.0</v>
      </c>
      <c r="X12" s="10" t="s">
        <v>31</v>
      </c>
      <c r="Y12" s="11" t="s">
        <v>67</v>
      </c>
      <c r="Z12" s="3">
        <v>2.0</v>
      </c>
    </row>
    <row r="13" ht="30.0" hidden="1" customHeight="1">
      <c r="A13" s="4">
        <v>12.0</v>
      </c>
      <c r="B13" s="4" t="s">
        <v>68</v>
      </c>
      <c r="C13" s="4" t="s">
        <v>27</v>
      </c>
      <c r="D13" s="5" t="s">
        <v>69</v>
      </c>
      <c r="E13" s="4" t="s">
        <v>29</v>
      </c>
      <c r="F13" s="6">
        <v>46023.0</v>
      </c>
      <c r="G13" s="4">
        <v>-3.76</v>
      </c>
      <c r="H13" s="4">
        <v>-4.0</v>
      </c>
      <c r="I13" s="4">
        <v>12.5</v>
      </c>
      <c r="J13" s="4">
        <v>9.5</v>
      </c>
      <c r="K13" s="4">
        <v>3.0</v>
      </c>
      <c r="L13" s="4">
        <v>5.86</v>
      </c>
      <c r="M13" s="7" t="s">
        <v>30</v>
      </c>
      <c r="N13" s="8">
        <v>3.0</v>
      </c>
      <c r="O13" s="4">
        <v>3.0</v>
      </c>
      <c r="P13" s="9">
        <v>3.0</v>
      </c>
      <c r="Q13" s="7">
        <v>3.0</v>
      </c>
      <c r="R13" s="9">
        <v>12.0</v>
      </c>
      <c r="S13" s="8">
        <v>3.0</v>
      </c>
      <c r="T13" s="4">
        <v>3.0</v>
      </c>
      <c r="U13" s="9">
        <v>2.0</v>
      </c>
      <c r="V13" s="7">
        <v>2.0</v>
      </c>
      <c r="W13" s="9">
        <v>10.0</v>
      </c>
      <c r="X13" s="10" t="s">
        <v>31</v>
      </c>
      <c r="Y13" s="11" t="s">
        <v>70</v>
      </c>
      <c r="Z13" s="3">
        <v>2.0</v>
      </c>
    </row>
    <row r="14" ht="30.0" customHeight="1">
      <c r="A14" s="4">
        <v>13.0</v>
      </c>
      <c r="B14" s="4" t="s">
        <v>71</v>
      </c>
      <c r="C14" s="4" t="s">
        <v>27</v>
      </c>
      <c r="D14" s="5" t="s">
        <v>72</v>
      </c>
      <c r="E14" s="4" t="s">
        <v>48</v>
      </c>
      <c r="F14" s="6">
        <v>46023.0</v>
      </c>
      <c r="G14" s="4">
        <v>3.74</v>
      </c>
      <c r="H14" s="4">
        <v>4.8</v>
      </c>
      <c r="I14" s="4">
        <v>0.1</v>
      </c>
      <c r="J14" s="4">
        <v>3.6</v>
      </c>
      <c r="K14" s="4">
        <v>-3.5</v>
      </c>
      <c r="L14" s="4">
        <v>1.56</v>
      </c>
      <c r="M14" s="14" t="s">
        <v>41</v>
      </c>
      <c r="N14" s="8">
        <v>3.0</v>
      </c>
      <c r="O14" s="4">
        <v>2.0</v>
      </c>
      <c r="P14" s="9">
        <v>3.0</v>
      </c>
      <c r="Q14" s="7">
        <v>3.0</v>
      </c>
      <c r="R14" s="9">
        <v>11.0</v>
      </c>
      <c r="S14" s="8">
        <v>2.0</v>
      </c>
      <c r="T14" s="4">
        <v>3.0</v>
      </c>
      <c r="U14" s="9">
        <v>2.0</v>
      </c>
      <c r="V14" s="7">
        <v>2.0</v>
      </c>
      <c r="W14" s="9">
        <v>9.0</v>
      </c>
      <c r="X14" s="10" t="s">
        <v>56</v>
      </c>
      <c r="Y14" s="11" t="s">
        <v>73</v>
      </c>
      <c r="Z14" s="3">
        <v>2.0</v>
      </c>
    </row>
    <row r="15" ht="30.0" customHeight="1">
      <c r="A15" s="4">
        <v>14.0</v>
      </c>
      <c r="B15" s="4" t="s">
        <v>74</v>
      </c>
      <c r="C15" s="4" t="s">
        <v>27</v>
      </c>
      <c r="D15" s="5" t="s">
        <v>75</v>
      </c>
      <c r="E15" s="4" t="s">
        <v>48</v>
      </c>
      <c r="F15" s="6">
        <v>46018.0</v>
      </c>
      <c r="G15" s="4">
        <v>3.74</v>
      </c>
      <c r="H15" s="4">
        <v>50.0</v>
      </c>
      <c r="I15" s="4">
        <v>0.1</v>
      </c>
      <c r="J15" s="4">
        <v>0.2</v>
      </c>
      <c r="K15" s="4">
        <v>-0.1</v>
      </c>
      <c r="L15" s="4">
        <v>8.26</v>
      </c>
      <c r="M15" s="14" t="s">
        <v>41</v>
      </c>
      <c r="N15" s="8">
        <v>1.0</v>
      </c>
      <c r="O15" s="4">
        <v>2.0</v>
      </c>
      <c r="P15" s="9">
        <v>3.0</v>
      </c>
      <c r="Q15" s="7">
        <v>3.0</v>
      </c>
      <c r="R15" s="9">
        <v>9.0</v>
      </c>
      <c r="S15" s="8">
        <v>3.0</v>
      </c>
      <c r="T15" s="4">
        <v>3.0</v>
      </c>
      <c r="U15" s="9">
        <v>3.0</v>
      </c>
      <c r="V15" s="7">
        <v>2.0</v>
      </c>
      <c r="W15" s="9">
        <v>11.0</v>
      </c>
      <c r="X15" s="10" t="s">
        <v>56</v>
      </c>
      <c r="Y15" s="11" t="s">
        <v>76</v>
      </c>
      <c r="Z15" s="3">
        <v>2.0</v>
      </c>
    </row>
    <row r="16" ht="30.0" customHeight="1">
      <c r="A16" s="8">
        <v>15.0</v>
      </c>
      <c r="B16" s="8" t="s">
        <v>77</v>
      </c>
      <c r="C16" s="8" t="s">
        <v>34</v>
      </c>
      <c r="D16" s="12" t="s">
        <v>78</v>
      </c>
      <c r="E16" s="8" t="s">
        <v>48</v>
      </c>
      <c r="F16" s="13">
        <v>46009.0</v>
      </c>
      <c r="G16" s="8">
        <v>3.74</v>
      </c>
      <c r="H16" s="8">
        <v>6.0</v>
      </c>
      <c r="I16" s="8">
        <v>21.5</v>
      </c>
      <c r="J16" s="8">
        <v>25.0</v>
      </c>
      <c r="K16" s="4">
        <v>-3.5</v>
      </c>
      <c r="L16" s="8">
        <v>101.21</v>
      </c>
      <c r="M16" s="14" t="s">
        <v>41</v>
      </c>
      <c r="N16" s="8">
        <v>3.0</v>
      </c>
      <c r="O16" s="4">
        <v>2.0</v>
      </c>
      <c r="P16" s="9">
        <v>3.0</v>
      </c>
      <c r="Q16" s="7">
        <v>3.0</v>
      </c>
      <c r="R16" s="9">
        <v>11.0</v>
      </c>
      <c r="S16" s="8">
        <v>3.0</v>
      </c>
      <c r="T16" s="4">
        <v>1.0</v>
      </c>
      <c r="U16" s="9">
        <v>3.0</v>
      </c>
      <c r="V16" s="7">
        <v>2.0</v>
      </c>
      <c r="W16" s="9">
        <v>9.0</v>
      </c>
      <c r="X16" s="10" t="s">
        <v>31</v>
      </c>
      <c r="Y16" s="11" t="s">
        <v>79</v>
      </c>
      <c r="Z16" s="3">
        <v>2.0</v>
      </c>
    </row>
    <row r="17" ht="30.0" customHeight="1">
      <c r="A17" s="4">
        <v>16.0</v>
      </c>
      <c r="B17" s="4" t="s">
        <v>80</v>
      </c>
      <c r="C17" s="4" t="s">
        <v>27</v>
      </c>
      <c r="D17" s="5" t="s">
        <v>81</v>
      </c>
      <c r="E17" s="4" t="s">
        <v>29</v>
      </c>
      <c r="F17" s="6">
        <v>46008.0</v>
      </c>
      <c r="G17" s="4">
        <v>3.72</v>
      </c>
      <c r="H17" s="4">
        <v>4.0</v>
      </c>
      <c r="I17" s="4">
        <v>1.1</v>
      </c>
      <c r="J17" s="4">
        <v>1.6</v>
      </c>
      <c r="K17" s="4">
        <v>-0.5</v>
      </c>
      <c r="L17" s="4">
        <v>17.98</v>
      </c>
      <c r="M17" s="14" t="s">
        <v>41</v>
      </c>
      <c r="N17" s="8">
        <v>2.0</v>
      </c>
      <c r="O17" s="4">
        <v>3.0</v>
      </c>
      <c r="P17" s="9">
        <v>0.0</v>
      </c>
      <c r="Q17" s="7">
        <v>3.0</v>
      </c>
      <c r="R17" s="9">
        <v>8.0</v>
      </c>
      <c r="S17" s="16">
        <v>1.0</v>
      </c>
      <c r="T17" s="17">
        <v>3.0</v>
      </c>
      <c r="U17" s="18">
        <v>2.0</v>
      </c>
      <c r="V17" s="19">
        <v>2.0</v>
      </c>
      <c r="W17" s="9">
        <v>8.0</v>
      </c>
      <c r="X17" s="10" t="s">
        <v>56</v>
      </c>
      <c r="Y17" s="11" t="s">
        <v>82</v>
      </c>
      <c r="Z17" s="3">
        <v>2.0</v>
      </c>
    </row>
    <row r="18" ht="30.0" hidden="1" customHeight="1">
      <c r="A18" s="4">
        <v>17.0</v>
      </c>
      <c r="B18" s="4" t="s">
        <v>83</v>
      </c>
      <c r="C18" s="4" t="s">
        <v>27</v>
      </c>
      <c r="D18" s="5" t="s">
        <v>84</v>
      </c>
      <c r="E18" s="4" t="s">
        <v>29</v>
      </c>
      <c r="F18" s="6">
        <v>46001.0</v>
      </c>
      <c r="G18" s="4">
        <v>3.71</v>
      </c>
      <c r="H18" s="4">
        <v>6.0</v>
      </c>
      <c r="I18" s="4">
        <v>39.5</v>
      </c>
      <c r="J18" s="4">
        <v>39.5</v>
      </c>
      <c r="K18" s="4">
        <v>0.0</v>
      </c>
      <c r="L18" s="4">
        <v>3.17</v>
      </c>
      <c r="M18" s="7" t="s">
        <v>30</v>
      </c>
      <c r="N18" s="8">
        <v>3.0</v>
      </c>
      <c r="O18" s="4">
        <v>2.0</v>
      </c>
      <c r="P18" s="9">
        <v>3.0</v>
      </c>
      <c r="Q18" s="7">
        <v>3.0</v>
      </c>
      <c r="R18" s="9">
        <v>11.0</v>
      </c>
      <c r="S18" s="16">
        <v>3.0</v>
      </c>
      <c r="T18" s="17">
        <v>3.0</v>
      </c>
      <c r="U18" s="18">
        <v>3.0</v>
      </c>
      <c r="V18" s="19">
        <v>2.0</v>
      </c>
      <c r="W18" s="9">
        <v>11.0</v>
      </c>
      <c r="X18" s="10" t="s">
        <v>56</v>
      </c>
      <c r="Y18" s="11" t="s">
        <v>85</v>
      </c>
      <c r="Z18" s="3">
        <v>2.0</v>
      </c>
    </row>
    <row r="19" ht="30.0" customHeight="1">
      <c r="A19" s="8">
        <v>18.0</v>
      </c>
      <c r="B19" s="8" t="s">
        <v>86</v>
      </c>
      <c r="C19" s="8" t="s">
        <v>34</v>
      </c>
      <c r="D19" s="12" t="s">
        <v>62</v>
      </c>
      <c r="E19" s="8" t="s">
        <v>48</v>
      </c>
      <c r="F19" s="13">
        <v>45999.0</v>
      </c>
      <c r="G19" s="8">
        <v>3.74</v>
      </c>
      <c r="H19" s="8">
        <v>5.0</v>
      </c>
      <c r="I19" s="8">
        <v>6.0</v>
      </c>
      <c r="J19" s="8">
        <v>8.0</v>
      </c>
      <c r="K19" s="4">
        <v>-2.0</v>
      </c>
      <c r="L19" s="8">
        <v>66.03</v>
      </c>
      <c r="M19" s="14" t="s">
        <v>41</v>
      </c>
      <c r="N19" s="8">
        <v>3.0</v>
      </c>
      <c r="O19" s="4">
        <v>2.0</v>
      </c>
      <c r="P19" s="9">
        <v>3.0</v>
      </c>
      <c r="Q19" s="7">
        <v>3.0</v>
      </c>
      <c r="R19" s="9">
        <v>11.0</v>
      </c>
      <c r="S19" s="16">
        <v>3.0</v>
      </c>
      <c r="T19" s="17">
        <v>3.0</v>
      </c>
      <c r="U19" s="18">
        <v>3.0</v>
      </c>
      <c r="V19" s="19">
        <v>2.0</v>
      </c>
      <c r="W19" s="9">
        <v>11.0</v>
      </c>
      <c r="X19" s="10" t="s">
        <v>56</v>
      </c>
      <c r="Y19" s="11" t="s">
        <v>87</v>
      </c>
      <c r="Z19" s="3">
        <v>2.0</v>
      </c>
    </row>
    <row r="20" ht="30.0" customHeight="1">
      <c r="A20" s="4">
        <v>19.0</v>
      </c>
      <c r="B20" s="4" t="s">
        <v>88</v>
      </c>
      <c r="C20" s="4" t="s">
        <v>27</v>
      </c>
      <c r="D20" s="5" t="s">
        <v>89</v>
      </c>
      <c r="E20" s="4" t="s">
        <v>29</v>
      </c>
      <c r="F20" s="6">
        <v>45993.0</v>
      </c>
      <c r="G20" s="4">
        <v>3.77</v>
      </c>
      <c r="H20" s="4">
        <v>11.5</v>
      </c>
      <c r="I20" s="4">
        <v>30.0</v>
      </c>
      <c r="J20" s="4">
        <v>45.0</v>
      </c>
      <c r="K20" s="4">
        <v>-15.0</v>
      </c>
      <c r="L20" s="4">
        <v>9.48</v>
      </c>
      <c r="M20" s="14" t="s">
        <v>41</v>
      </c>
      <c r="N20" s="8">
        <v>1.0</v>
      </c>
      <c r="O20" s="4">
        <v>2.0</v>
      </c>
      <c r="P20" s="9">
        <v>0.0</v>
      </c>
      <c r="Q20" s="7">
        <v>3.0</v>
      </c>
      <c r="R20" s="9">
        <v>6.0</v>
      </c>
      <c r="S20" s="16">
        <v>1.0</v>
      </c>
      <c r="T20" s="17">
        <v>3.0</v>
      </c>
      <c r="U20" s="18">
        <v>2.0</v>
      </c>
      <c r="V20" s="19">
        <v>1.0</v>
      </c>
      <c r="W20" s="9">
        <v>7.0</v>
      </c>
      <c r="X20" s="10" t="s">
        <v>31</v>
      </c>
      <c r="Y20" s="11" t="s">
        <v>90</v>
      </c>
      <c r="Z20" s="3">
        <v>2.0</v>
      </c>
    </row>
    <row r="21" ht="30.0" customHeight="1">
      <c r="A21" s="4">
        <v>20.0</v>
      </c>
      <c r="B21" s="4" t="s">
        <v>91</v>
      </c>
      <c r="C21" s="4" t="s">
        <v>27</v>
      </c>
      <c r="D21" s="5" t="s">
        <v>92</v>
      </c>
      <c r="E21" s="4" t="s">
        <v>48</v>
      </c>
      <c r="F21" s="6">
        <v>45992.0</v>
      </c>
      <c r="G21" s="4">
        <v>3.73</v>
      </c>
      <c r="H21" s="4">
        <v>5.5</v>
      </c>
      <c r="I21" s="4">
        <v>18.0</v>
      </c>
      <c r="J21" s="4">
        <v>33.5</v>
      </c>
      <c r="K21" s="4">
        <v>-15.5</v>
      </c>
      <c r="L21" s="4">
        <v>8.42</v>
      </c>
      <c r="M21" s="15" t="s">
        <v>55</v>
      </c>
      <c r="N21" s="8">
        <v>3.0</v>
      </c>
      <c r="O21" s="4">
        <v>3.0</v>
      </c>
      <c r="P21" s="9">
        <v>0.0</v>
      </c>
      <c r="Q21" s="7">
        <v>3.0</v>
      </c>
      <c r="R21" s="9">
        <v>9.0</v>
      </c>
      <c r="S21" s="16">
        <v>3.0</v>
      </c>
      <c r="T21" s="17">
        <v>3.0</v>
      </c>
      <c r="U21" s="18">
        <v>3.0</v>
      </c>
      <c r="V21" s="19">
        <v>2.0</v>
      </c>
      <c r="W21" s="9">
        <v>11.0</v>
      </c>
      <c r="X21" s="10" t="s">
        <v>31</v>
      </c>
      <c r="Y21" s="11" t="s">
        <v>93</v>
      </c>
      <c r="Z21" s="3">
        <v>1.0</v>
      </c>
    </row>
    <row r="22" ht="30.0" customHeight="1">
      <c r="A22" s="8">
        <v>21.0</v>
      </c>
      <c r="B22" s="8" t="s">
        <v>94</v>
      </c>
      <c r="C22" s="8" t="s">
        <v>34</v>
      </c>
      <c r="D22" s="12" t="s">
        <v>95</v>
      </c>
      <c r="E22" s="8" t="s">
        <v>29</v>
      </c>
      <c r="F22" s="13">
        <v>45990.0</v>
      </c>
      <c r="G22" s="8">
        <v>-3.74</v>
      </c>
      <c r="H22" s="8">
        <v>-12.5</v>
      </c>
      <c r="I22" s="8">
        <v>58.5</v>
      </c>
      <c r="J22" s="8">
        <v>46.0</v>
      </c>
      <c r="K22" s="4">
        <v>12.5</v>
      </c>
      <c r="L22" s="8">
        <v>76.91</v>
      </c>
      <c r="M22" s="15" t="s">
        <v>55</v>
      </c>
      <c r="N22" s="8">
        <v>3.0</v>
      </c>
      <c r="O22" s="4">
        <v>2.0</v>
      </c>
      <c r="P22" s="9">
        <v>3.0</v>
      </c>
      <c r="Q22" s="7">
        <v>3.0</v>
      </c>
      <c r="R22" s="9">
        <v>11.0</v>
      </c>
      <c r="S22" s="16">
        <v>2.0</v>
      </c>
      <c r="T22" s="17">
        <v>3.0</v>
      </c>
      <c r="U22" s="18">
        <v>3.0</v>
      </c>
      <c r="V22" s="19">
        <v>2.0</v>
      </c>
      <c r="W22" s="9">
        <v>10.0</v>
      </c>
      <c r="X22" s="10" t="s">
        <v>31</v>
      </c>
      <c r="Y22" s="11" t="s">
        <v>96</v>
      </c>
      <c r="Z22" s="3">
        <v>1.0</v>
      </c>
    </row>
    <row r="23" ht="30.0" hidden="1" customHeight="1">
      <c r="A23" s="4">
        <v>22.0</v>
      </c>
      <c r="B23" s="4" t="s">
        <v>97</v>
      </c>
      <c r="C23" s="4" t="s">
        <v>27</v>
      </c>
      <c r="D23" s="5" t="s">
        <v>98</v>
      </c>
      <c r="E23" s="4" t="s">
        <v>48</v>
      </c>
      <c r="F23" s="6">
        <v>45988.0</v>
      </c>
      <c r="G23" s="4">
        <v>-3.74</v>
      </c>
      <c r="H23" s="4">
        <v>-8.5</v>
      </c>
      <c r="I23" s="4">
        <v>52.5</v>
      </c>
      <c r="J23" s="4">
        <v>44.5</v>
      </c>
      <c r="K23" s="4">
        <v>8.0</v>
      </c>
      <c r="L23" s="4">
        <v>2.69</v>
      </c>
      <c r="M23" s="7" t="s">
        <v>30</v>
      </c>
      <c r="N23" s="8">
        <v>2.0</v>
      </c>
      <c r="O23" s="4">
        <v>2.0</v>
      </c>
      <c r="P23" s="9">
        <v>3.0</v>
      </c>
      <c r="Q23" s="7">
        <v>3.0</v>
      </c>
      <c r="R23" s="9">
        <v>10.0</v>
      </c>
      <c r="S23" s="16">
        <v>2.0</v>
      </c>
      <c r="T23" s="17">
        <v>3.0</v>
      </c>
      <c r="U23" s="18">
        <v>3.0</v>
      </c>
      <c r="V23" s="19">
        <v>2.0</v>
      </c>
      <c r="W23" s="9">
        <v>10.0</v>
      </c>
      <c r="X23" s="10" t="s">
        <v>31</v>
      </c>
      <c r="Y23" s="11" t="s">
        <v>99</v>
      </c>
      <c r="Z23" s="3">
        <v>1.0</v>
      </c>
    </row>
    <row r="24" ht="30.0" customHeight="1">
      <c r="A24" s="8">
        <v>23.0</v>
      </c>
      <c r="B24" s="8" t="s">
        <v>100</v>
      </c>
      <c r="C24" s="8" t="s">
        <v>34</v>
      </c>
      <c r="D24" s="12" t="s">
        <v>101</v>
      </c>
      <c r="E24" s="8" t="s">
        <v>29</v>
      </c>
      <c r="F24" s="13">
        <v>45983.0</v>
      </c>
      <c r="G24" s="8">
        <v>-3.75</v>
      </c>
      <c r="H24" s="8">
        <v>-7.0</v>
      </c>
      <c r="I24" s="8">
        <v>30.0</v>
      </c>
      <c r="J24" s="8">
        <v>24.5</v>
      </c>
      <c r="K24" s="4" t="s">
        <v>102</v>
      </c>
      <c r="L24" s="8">
        <v>65.31</v>
      </c>
      <c r="M24" s="14" t="s">
        <v>41</v>
      </c>
      <c r="N24" s="8">
        <v>3.0</v>
      </c>
      <c r="O24" s="4">
        <v>2.0</v>
      </c>
      <c r="P24" s="9">
        <v>3.0</v>
      </c>
      <c r="Q24" s="7">
        <v>3.0</v>
      </c>
      <c r="R24" s="9">
        <v>11.0</v>
      </c>
      <c r="S24" s="16">
        <v>3.0</v>
      </c>
      <c r="T24" s="17">
        <v>3.0</v>
      </c>
      <c r="U24" s="18">
        <v>3.0</v>
      </c>
      <c r="V24" s="19">
        <v>2.0</v>
      </c>
      <c r="W24" s="9">
        <v>11.0</v>
      </c>
      <c r="X24" s="10" t="s">
        <v>31</v>
      </c>
      <c r="Y24" s="11" t="s">
        <v>103</v>
      </c>
      <c r="Z24" s="3">
        <v>1.0</v>
      </c>
    </row>
    <row r="25" ht="30.0" customHeight="1">
      <c r="A25" s="4">
        <v>24.0</v>
      </c>
      <c r="B25" s="4" t="s">
        <v>104</v>
      </c>
      <c r="C25" s="4" t="s">
        <v>27</v>
      </c>
      <c r="D25" s="5" t="s">
        <v>92</v>
      </c>
      <c r="E25" s="4" t="s">
        <v>48</v>
      </c>
      <c r="F25" s="6">
        <v>45982.0</v>
      </c>
      <c r="G25" s="4">
        <v>-3.74</v>
      </c>
      <c r="H25" s="4">
        <v>-17.5</v>
      </c>
      <c r="I25" s="4">
        <v>42.0</v>
      </c>
      <c r="J25" s="4">
        <v>17.0</v>
      </c>
      <c r="K25" s="4">
        <v>25.0</v>
      </c>
      <c r="L25" s="4">
        <v>8.42</v>
      </c>
      <c r="M25" s="15" t="s">
        <v>55</v>
      </c>
      <c r="N25" s="8">
        <v>3.0</v>
      </c>
      <c r="O25" s="4">
        <v>3.0</v>
      </c>
      <c r="P25" s="9">
        <v>0.0</v>
      </c>
      <c r="Q25" s="7">
        <v>3.0</v>
      </c>
      <c r="R25" s="9">
        <v>9.0</v>
      </c>
      <c r="S25" s="16">
        <v>3.0</v>
      </c>
      <c r="T25" s="17">
        <v>3.0</v>
      </c>
      <c r="U25" s="18">
        <v>2.0</v>
      </c>
      <c r="V25" s="19">
        <v>2.0</v>
      </c>
      <c r="W25" s="9">
        <v>10.0</v>
      </c>
      <c r="X25" s="10" t="s">
        <v>31</v>
      </c>
      <c r="Y25" s="11" t="s">
        <v>105</v>
      </c>
      <c r="Z25" s="3">
        <v>1.0</v>
      </c>
    </row>
    <row r="26" ht="30.0" customHeight="1">
      <c r="A26" s="8">
        <v>25.0</v>
      </c>
      <c r="B26" s="8" t="s">
        <v>106</v>
      </c>
      <c r="C26" s="8" t="s">
        <v>34</v>
      </c>
      <c r="D26" s="12" t="s">
        <v>47</v>
      </c>
      <c r="E26" s="8" t="s">
        <v>29</v>
      </c>
      <c r="F26" s="13">
        <v>45979.0</v>
      </c>
      <c r="G26" s="8">
        <v>3.69</v>
      </c>
      <c r="H26" s="8">
        <v>4.5</v>
      </c>
      <c r="I26" s="8">
        <v>35.5</v>
      </c>
      <c r="J26" s="8">
        <v>39.5</v>
      </c>
      <c r="K26" s="4">
        <v>-4.0</v>
      </c>
      <c r="L26" s="8">
        <v>87.1</v>
      </c>
      <c r="M26" s="14" t="s">
        <v>41</v>
      </c>
      <c r="N26" s="8">
        <v>3.0</v>
      </c>
      <c r="O26" s="4">
        <v>2.0</v>
      </c>
      <c r="P26" s="9">
        <v>3.0</v>
      </c>
      <c r="Q26" s="7">
        <v>3.0</v>
      </c>
      <c r="R26" s="9">
        <v>11.0</v>
      </c>
      <c r="S26" s="16">
        <v>3.0</v>
      </c>
      <c r="T26" s="17">
        <v>3.0</v>
      </c>
      <c r="U26" s="18">
        <v>3.0</v>
      </c>
      <c r="V26" s="19">
        <v>2.0</v>
      </c>
      <c r="W26" s="9">
        <v>11.0</v>
      </c>
      <c r="X26" s="10" t="s">
        <v>31</v>
      </c>
      <c r="Y26" s="11" t="s">
        <v>107</v>
      </c>
      <c r="Z26" s="3">
        <v>1.0</v>
      </c>
    </row>
    <row r="27" ht="30.0" customHeight="1">
      <c r="A27" s="8">
        <v>26.0</v>
      </c>
      <c r="B27" s="8" t="s">
        <v>108</v>
      </c>
      <c r="C27" s="8" t="s">
        <v>34</v>
      </c>
      <c r="D27" s="12" t="s">
        <v>78</v>
      </c>
      <c r="E27" s="8" t="s">
        <v>48</v>
      </c>
      <c r="F27" s="13">
        <v>45970.0</v>
      </c>
      <c r="G27" s="8">
        <v>3.73</v>
      </c>
      <c r="H27" s="8">
        <v>4.0</v>
      </c>
      <c r="I27" s="8">
        <v>35.0</v>
      </c>
      <c r="J27" s="8">
        <v>39.0</v>
      </c>
      <c r="K27" s="4">
        <v>-4.0</v>
      </c>
      <c r="L27" s="8">
        <v>101.21</v>
      </c>
      <c r="M27" s="14" t="s">
        <v>41</v>
      </c>
      <c r="N27" s="8">
        <v>3.0</v>
      </c>
      <c r="O27" s="4">
        <v>2.0</v>
      </c>
      <c r="P27" s="9">
        <v>2.0</v>
      </c>
      <c r="Q27" s="7">
        <v>3.0</v>
      </c>
      <c r="R27" s="9">
        <v>10.0</v>
      </c>
      <c r="S27" s="16">
        <v>3.0</v>
      </c>
      <c r="T27" s="17">
        <v>3.0</v>
      </c>
      <c r="U27" s="18">
        <v>2.0</v>
      </c>
      <c r="V27" s="19">
        <v>2.0</v>
      </c>
      <c r="W27" s="9">
        <v>10.0</v>
      </c>
      <c r="X27" s="10" t="s">
        <v>31</v>
      </c>
      <c r="Y27" s="11" t="s">
        <v>109</v>
      </c>
      <c r="Z27" s="3">
        <v>1.0</v>
      </c>
    </row>
    <row r="28" ht="30.0" customHeight="1">
      <c r="A28" s="8">
        <v>27.0</v>
      </c>
      <c r="B28" s="8" t="s">
        <v>110</v>
      </c>
      <c r="C28" s="8" t="s">
        <v>34</v>
      </c>
      <c r="D28" s="12" t="s">
        <v>111</v>
      </c>
      <c r="E28" s="8" t="s">
        <v>48</v>
      </c>
      <c r="F28" s="13">
        <v>45959.0</v>
      </c>
      <c r="G28" s="8">
        <v>3.74</v>
      </c>
      <c r="H28" s="8">
        <v>17.0</v>
      </c>
      <c r="I28" s="8">
        <v>12.0</v>
      </c>
      <c r="J28" s="8">
        <v>30.5</v>
      </c>
      <c r="K28" s="4">
        <v>-18.5</v>
      </c>
      <c r="L28" s="8">
        <v>44.52</v>
      </c>
      <c r="M28" s="14" t="s">
        <v>41</v>
      </c>
      <c r="N28" s="8">
        <v>2.0</v>
      </c>
      <c r="O28" s="4">
        <v>2.0</v>
      </c>
      <c r="P28" s="9">
        <v>3.0</v>
      </c>
      <c r="Q28" s="7">
        <v>2.0</v>
      </c>
      <c r="R28" s="9">
        <v>9.0</v>
      </c>
      <c r="S28" s="16">
        <v>1.0</v>
      </c>
      <c r="T28" s="17">
        <v>1.0</v>
      </c>
      <c r="U28" s="18">
        <v>3.0</v>
      </c>
      <c r="V28" s="19">
        <v>2.0</v>
      </c>
      <c r="W28" s="9">
        <v>7.0</v>
      </c>
      <c r="X28" s="10" t="s">
        <v>31</v>
      </c>
      <c r="Y28" s="11" t="s">
        <v>112</v>
      </c>
      <c r="Z28" s="3">
        <v>1.0</v>
      </c>
    </row>
    <row r="29" ht="30.0" hidden="1" customHeight="1">
      <c r="A29" s="4">
        <v>28.0</v>
      </c>
      <c r="B29" s="4" t="s">
        <v>113</v>
      </c>
      <c r="C29" s="4" t="s">
        <v>27</v>
      </c>
      <c r="D29" s="5" t="s">
        <v>114</v>
      </c>
      <c r="E29" s="4" t="s">
        <v>48</v>
      </c>
      <c r="F29" s="6">
        <v>45957.0</v>
      </c>
      <c r="G29" s="4">
        <v>3.71</v>
      </c>
      <c r="H29" s="4">
        <v>4.0</v>
      </c>
      <c r="I29" s="4">
        <v>44.0</v>
      </c>
      <c r="J29" s="4">
        <v>47.5</v>
      </c>
      <c r="K29" s="4">
        <v>-3.5</v>
      </c>
      <c r="L29" s="4">
        <v>19.18</v>
      </c>
      <c r="M29" s="7" t="s">
        <v>30</v>
      </c>
      <c r="N29" s="8">
        <v>2.0</v>
      </c>
      <c r="O29" s="4">
        <v>2.0</v>
      </c>
      <c r="P29" s="9">
        <v>3.0</v>
      </c>
      <c r="Q29" s="7">
        <v>3.0</v>
      </c>
      <c r="R29" s="9">
        <v>10.0</v>
      </c>
      <c r="S29" s="16">
        <v>2.0</v>
      </c>
      <c r="T29" s="17">
        <v>3.0</v>
      </c>
      <c r="U29" s="18">
        <v>3.0</v>
      </c>
      <c r="V29" s="19">
        <v>2.0</v>
      </c>
      <c r="W29" s="9">
        <v>10.0</v>
      </c>
      <c r="X29" s="10" t="s">
        <v>31</v>
      </c>
      <c r="Y29" s="11" t="s">
        <v>115</v>
      </c>
      <c r="Z29" s="3">
        <v>1.0</v>
      </c>
    </row>
    <row r="30" ht="30.0" hidden="1" customHeight="1">
      <c r="A30" s="8">
        <v>29.0</v>
      </c>
      <c r="B30" s="8" t="s">
        <v>116</v>
      </c>
      <c r="C30" s="8" t="s">
        <v>34</v>
      </c>
      <c r="D30" s="12" t="s">
        <v>117</v>
      </c>
      <c r="E30" s="8" t="s">
        <v>48</v>
      </c>
      <c r="F30" s="13">
        <v>45950.0</v>
      </c>
      <c r="G30" s="8">
        <v>3.74</v>
      </c>
      <c r="H30" s="8">
        <v>6.5</v>
      </c>
      <c r="I30" s="8">
        <v>19.0</v>
      </c>
      <c r="J30" s="8">
        <v>25.5</v>
      </c>
      <c r="K30" s="4">
        <v>-6.5</v>
      </c>
      <c r="L30" s="8">
        <v>1.33</v>
      </c>
      <c r="M30" s="7" t="s">
        <v>30</v>
      </c>
      <c r="N30" s="8">
        <v>3.0</v>
      </c>
      <c r="O30" s="4">
        <v>2.0</v>
      </c>
      <c r="P30" s="9">
        <v>3.0</v>
      </c>
      <c r="Q30" s="7">
        <v>3.0</v>
      </c>
      <c r="R30" s="9">
        <v>11.0</v>
      </c>
      <c r="S30" s="16">
        <v>3.0</v>
      </c>
      <c r="T30" s="17">
        <v>3.0</v>
      </c>
      <c r="U30" s="18">
        <v>3.0</v>
      </c>
      <c r="V30" s="19">
        <v>2.0</v>
      </c>
      <c r="W30" s="9">
        <v>11.0</v>
      </c>
      <c r="X30" s="10" t="s">
        <v>31</v>
      </c>
      <c r="Y30" s="11" t="s">
        <v>118</v>
      </c>
      <c r="Z30" s="3">
        <v>1.0</v>
      </c>
    </row>
    <row r="31" ht="30.0" hidden="1" customHeight="1">
      <c r="A31" s="4">
        <v>30.0</v>
      </c>
      <c r="B31" s="4" t="s">
        <v>119</v>
      </c>
      <c r="C31" s="4" t="s">
        <v>27</v>
      </c>
      <c r="D31" s="5" t="s">
        <v>114</v>
      </c>
      <c r="E31" s="4" t="s">
        <v>48</v>
      </c>
      <c r="F31" s="6">
        <v>45932.0</v>
      </c>
      <c r="G31" s="4">
        <v>3.79</v>
      </c>
      <c r="H31" s="4">
        <v>6.0</v>
      </c>
      <c r="I31" s="4">
        <v>55.0</v>
      </c>
      <c r="J31" s="4">
        <v>60.5</v>
      </c>
      <c r="K31" s="4">
        <v>-5.5</v>
      </c>
      <c r="L31" s="4">
        <v>19.18</v>
      </c>
      <c r="M31" s="7" t="s">
        <v>30</v>
      </c>
      <c r="N31" s="8">
        <v>2.0</v>
      </c>
      <c r="O31" s="4">
        <v>2.0</v>
      </c>
      <c r="P31" s="9">
        <v>3.0</v>
      </c>
      <c r="Q31" s="7">
        <v>3.0</v>
      </c>
      <c r="R31" s="9">
        <v>10.0</v>
      </c>
      <c r="S31" s="16">
        <v>2.0</v>
      </c>
      <c r="T31" s="17">
        <v>3.0</v>
      </c>
      <c r="U31" s="18">
        <v>3.0</v>
      </c>
      <c r="V31" s="19">
        <v>2.0</v>
      </c>
      <c r="W31" s="9">
        <v>10.0</v>
      </c>
      <c r="X31" s="10" t="s">
        <v>31</v>
      </c>
      <c r="Y31" s="11" t="s">
        <v>120</v>
      </c>
      <c r="Z31" s="3">
        <v>1.0</v>
      </c>
    </row>
    <row r="32" ht="30.0" customHeight="1">
      <c r="A32" s="8">
        <v>31.0</v>
      </c>
      <c r="B32" s="8" t="s">
        <v>121</v>
      </c>
      <c r="C32" s="8" t="s">
        <v>34</v>
      </c>
      <c r="D32" s="12" t="s">
        <v>78</v>
      </c>
      <c r="E32" s="8" t="s">
        <v>48</v>
      </c>
      <c r="F32" s="13">
        <v>45931.0</v>
      </c>
      <c r="G32" s="8">
        <v>-3.75</v>
      </c>
      <c r="H32" s="8">
        <v>-6.0</v>
      </c>
      <c r="I32" s="8">
        <v>34.5</v>
      </c>
      <c r="J32" s="8">
        <v>33.5</v>
      </c>
      <c r="K32" s="4">
        <v>1.0</v>
      </c>
      <c r="L32" s="8">
        <v>101.21</v>
      </c>
      <c r="M32" s="14" t="s">
        <v>41</v>
      </c>
      <c r="N32" s="8">
        <v>3.0</v>
      </c>
      <c r="O32" s="4">
        <v>2.0</v>
      </c>
      <c r="P32" s="9">
        <v>3.0</v>
      </c>
      <c r="Q32" s="7">
        <v>3.0</v>
      </c>
      <c r="R32" s="9">
        <v>11.0</v>
      </c>
      <c r="S32" s="16">
        <v>3.0</v>
      </c>
      <c r="T32" s="17">
        <v>1.0</v>
      </c>
      <c r="U32" s="18">
        <v>3.0</v>
      </c>
      <c r="V32" s="19">
        <v>2.0</v>
      </c>
      <c r="W32" s="9">
        <v>9.0</v>
      </c>
      <c r="X32" s="10" t="s">
        <v>56</v>
      </c>
      <c r="Y32" s="11" t="s">
        <v>122</v>
      </c>
      <c r="Z32" s="3">
        <v>1.0</v>
      </c>
    </row>
    <row r="33" ht="30.0" hidden="1" customHeight="1">
      <c r="A33" s="8">
        <v>32.0</v>
      </c>
      <c r="B33" s="8" t="s">
        <v>123</v>
      </c>
      <c r="C33" s="8" t="s">
        <v>34</v>
      </c>
      <c r="D33" s="12" t="s">
        <v>124</v>
      </c>
      <c r="E33" s="8" t="s">
        <v>29</v>
      </c>
      <c r="F33" s="13">
        <v>45931.0</v>
      </c>
      <c r="G33" s="8">
        <v>-3.7</v>
      </c>
      <c r="H33" s="8">
        <v>-5.0</v>
      </c>
      <c r="I33" s="8">
        <v>10.0</v>
      </c>
      <c r="J33" s="8">
        <v>3.0</v>
      </c>
      <c r="K33" s="4">
        <v>7.0</v>
      </c>
      <c r="L33" s="8">
        <v>3.64</v>
      </c>
      <c r="M33" s="7" t="s">
        <v>30</v>
      </c>
      <c r="N33" s="8">
        <v>3.0</v>
      </c>
      <c r="O33" s="4">
        <v>2.0</v>
      </c>
      <c r="P33" s="9">
        <v>3.0</v>
      </c>
      <c r="Q33" s="7">
        <v>3.0</v>
      </c>
      <c r="R33" s="9">
        <v>11.0</v>
      </c>
      <c r="S33" s="16">
        <v>3.0</v>
      </c>
      <c r="T33" s="17">
        <v>3.0</v>
      </c>
      <c r="U33" s="18">
        <v>3.0</v>
      </c>
      <c r="V33" s="19">
        <v>2.0</v>
      </c>
      <c r="W33" s="9">
        <v>11.0</v>
      </c>
      <c r="X33" s="10" t="s">
        <v>31</v>
      </c>
      <c r="Y33" s="11" t="s">
        <v>125</v>
      </c>
      <c r="Z33" s="3">
        <v>1.0</v>
      </c>
    </row>
    <row r="34" ht="30.0" hidden="1" customHeight="1">
      <c r="A34" s="8">
        <v>33.0</v>
      </c>
      <c r="B34" s="8" t="s">
        <v>126</v>
      </c>
      <c r="C34" s="8" t="s">
        <v>34</v>
      </c>
      <c r="D34" s="12" t="s">
        <v>127</v>
      </c>
      <c r="E34" s="8" t="s">
        <v>48</v>
      </c>
      <c r="F34" s="13">
        <v>45931.0</v>
      </c>
      <c r="G34" s="8">
        <v>-3.7</v>
      </c>
      <c r="H34" s="8">
        <v>-5.0</v>
      </c>
      <c r="I34" s="8">
        <v>10.0</v>
      </c>
      <c r="J34" s="8">
        <v>1.6</v>
      </c>
      <c r="K34" s="4">
        <v>8.4</v>
      </c>
      <c r="L34" s="8">
        <v>3.66</v>
      </c>
      <c r="M34" s="7" t="s">
        <v>30</v>
      </c>
      <c r="N34" s="8">
        <v>3.0</v>
      </c>
      <c r="O34" s="4">
        <v>2.0</v>
      </c>
      <c r="P34" s="9">
        <v>3.0</v>
      </c>
      <c r="Q34" s="7">
        <v>3.0</v>
      </c>
      <c r="R34" s="9">
        <v>11.0</v>
      </c>
      <c r="S34" s="16">
        <v>3.0</v>
      </c>
      <c r="T34" s="17">
        <v>3.0</v>
      </c>
      <c r="U34" s="18">
        <v>1.0</v>
      </c>
      <c r="V34" s="19">
        <v>2.0</v>
      </c>
      <c r="W34" s="9">
        <v>9.0</v>
      </c>
      <c r="X34" s="10" t="s">
        <v>31</v>
      </c>
      <c r="Y34" s="11" t="s">
        <v>128</v>
      </c>
      <c r="Z34" s="3">
        <v>1.0</v>
      </c>
    </row>
    <row r="35" ht="30.0" customHeight="1">
      <c r="A35" s="4">
        <v>34.0</v>
      </c>
      <c r="B35" s="4" t="s">
        <v>129</v>
      </c>
      <c r="C35" s="4" t="s">
        <v>27</v>
      </c>
      <c r="D35" s="5" t="s">
        <v>130</v>
      </c>
      <c r="E35" s="4" t="s">
        <v>48</v>
      </c>
      <c r="F35" s="6">
        <v>45927.0</v>
      </c>
      <c r="G35" s="4">
        <v>-3.7</v>
      </c>
      <c r="H35" s="4">
        <v>-6.0</v>
      </c>
      <c r="I35" s="4">
        <v>54.6</v>
      </c>
      <c r="J35" s="4">
        <v>55.2</v>
      </c>
      <c r="K35" s="4">
        <v>-0.6</v>
      </c>
      <c r="L35" s="4">
        <v>18.47</v>
      </c>
      <c r="M35" s="14" t="s">
        <v>41</v>
      </c>
      <c r="N35" s="8">
        <v>3.0</v>
      </c>
      <c r="O35" s="4">
        <v>2.0</v>
      </c>
      <c r="P35" s="9">
        <v>0.0</v>
      </c>
      <c r="Q35" s="7">
        <v>3.0</v>
      </c>
      <c r="R35" s="9">
        <v>8.0</v>
      </c>
      <c r="S35" s="16">
        <v>3.0</v>
      </c>
      <c r="T35" s="17">
        <v>3.0</v>
      </c>
      <c r="U35" s="18">
        <v>2.0</v>
      </c>
      <c r="V35" s="19">
        <v>2.0</v>
      </c>
      <c r="W35" s="9">
        <v>10.0</v>
      </c>
      <c r="X35" s="10" t="s">
        <v>56</v>
      </c>
      <c r="Y35" s="11" t="s">
        <v>131</v>
      </c>
      <c r="Z35" s="3">
        <v>1.0</v>
      </c>
    </row>
    <row r="36" ht="30.0" customHeight="1">
      <c r="A36" s="4">
        <v>35.0</v>
      </c>
      <c r="B36" s="4" t="s">
        <v>132</v>
      </c>
      <c r="C36" s="4" t="s">
        <v>27</v>
      </c>
      <c r="D36" s="5" t="s">
        <v>133</v>
      </c>
      <c r="E36" s="4" t="s">
        <v>48</v>
      </c>
      <c r="F36" s="6">
        <v>45925.0</v>
      </c>
      <c r="G36" s="4">
        <v>-3.82</v>
      </c>
      <c r="H36" s="4">
        <v>-4.0</v>
      </c>
      <c r="I36" s="4">
        <v>50.5</v>
      </c>
      <c r="J36" s="4">
        <v>47.5</v>
      </c>
      <c r="K36" s="4">
        <v>3.0</v>
      </c>
      <c r="L36" s="4">
        <v>13.21</v>
      </c>
      <c r="M36" s="14" t="s">
        <v>41</v>
      </c>
      <c r="N36" s="8">
        <v>2.0</v>
      </c>
      <c r="O36" s="4">
        <v>2.0</v>
      </c>
      <c r="P36" s="9">
        <v>3.0</v>
      </c>
      <c r="Q36" s="7">
        <v>3.0</v>
      </c>
      <c r="R36" s="9">
        <v>10.0</v>
      </c>
      <c r="S36" s="16">
        <v>2.0</v>
      </c>
      <c r="T36" s="17">
        <v>3.0</v>
      </c>
      <c r="U36" s="18">
        <v>3.0</v>
      </c>
      <c r="V36" s="19">
        <v>2.0</v>
      </c>
      <c r="W36" s="9">
        <v>10.0</v>
      </c>
      <c r="X36" s="10" t="s">
        <v>31</v>
      </c>
      <c r="Y36" s="11" t="s">
        <v>134</v>
      </c>
      <c r="Z36" s="3">
        <v>1.0</v>
      </c>
    </row>
    <row r="37" ht="30.0" hidden="1" customHeight="1">
      <c r="A37" s="4">
        <v>36.0</v>
      </c>
      <c r="B37" s="4" t="s">
        <v>135</v>
      </c>
      <c r="C37" s="4" t="s">
        <v>27</v>
      </c>
      <c r="D37" s="5" t="s">
        <v>114</v>
      </c>
      <c r="E37" s="4" t="s">
        <v>48</v>
      </c>
      <c r="F37" s="6">
        <v>45922.0</v>
      </c>
      <c r="G37" s="4">
        <v>-3.74</v>
      </c>
      <c r="H37" s="4">
        <v>-22.0</v>
      </c>
      <c r="I37" s="4">
        <v>59.5</v>
      </c>
      <c r="J37" s="4">
        <v>37.5</v>
      </c>
      <c r="K37" s="4">
        <v>22.0</v>
      </c>
      <c r="L37" s="4">
        <v>2.43</v>
      </c>
      <c r="M37" s="7" t="s">
        <v>30</v>
      </c>
      <c r="N37" s="8">
        <v>3.0</v>
      </c>
      <c r="O37" s="4">
        <v>2.0</v>
      </c>
      <c r="P37" s="9">
        <v>0.0</v>
      </c>
      <c r="Q37" s="7">
        <v>3.0</v>
      </c>
      <c r="R37" s="9">
        <v>8.0</v>
      </c>
      <c r="S37" s="16">
        <v>3.0</v>
      </c>
      <c r="T37" s="17">
        <v>3.0</v>
      </c>
      <c r="U37" s="18">
        <v>2.0</v>
      </c>
      <c r="V37" s="19">
        <v>2.0</v>
      </c>
      <c r="W37" s="9">
        <v>10.0</v>
      </c>
      <c r="X37" s="10" t="s">
        <v>31</v>
      </c>
      <c r="Y37" s="11" t="s">
        <v>136</v>
      </c>
      <c r="Z37" s="3">
        <v>1.0</v>
      </c>
    </row>
    <row r="38" ht="30.0" customHeight="1">
      <c r="A38" s="8">
        <v>37.0</v>
      </c>
      <c r="B38" s="8" t="s">
        <v>137</v>
      </c>
      <c r="C38" s="8" t="s">
        <v>34</v>
      </c>
      <c r="D38" s="12" t="s">
        <v>138</v>
      </c>
      <c r="E38" s="8" t="s">
        <v>48</v>
      </c>
      <c r="F38" s="13">
        <v>45911.0</v>
      </c>
      <c r="G38" s="8">
        <v>3.74</v>
      </c>
      <c r="H38" s="8">
        <v>4.0</v>
      </c>
      <c r="I38" s="8">
        <v>6.5</v>
      </c>
      <c r="J38" s="8">
        <v>9.5</v>
      </c>
      <c r="K38" s="4">
        <v>-3.0</v>
      </c>
      <c r="L38" s="8">
        <v>161.57</v>
      </c>
      <c r="M38" s="14" t="s">
        <v>41</v>
      </c>
      <c r="N38" s="8">
        <v>3.0</v>
      </c>
      <c r="O38" s="4">
        <v>2.0</v>
      </c>
      <c r="P38" s="9">
        <v>3.0</v>
      </c>
      <c r="Q38" s="7">
        <v>3.0</v>
      </c>
      <c r="R38" s="9">
        <v>11.0</v>
      </c>
      <c r="S38" s="16">
        <v>3.0</v>
      </c>
      <c r="T38" s="17">
        <v>3.0</v>
      </c>
      <c r="U38" s="18">
        <v>3.0</v>
      </c>
      <c r="V38" s="19">
        <v>2.0</v>
      </c>
      <c r="W38" s="9">
        <v>11.0</v>
      </c>
      <c r="X38" s="10" t="s">
        <v>31</v>
      </c>
      <c r="Y38" s="11" t="s">
        <v>139</v>
      </c>
      <c r="Z38" s="3">
        <v>1.0</v>
      </c>
    </row>
    <row r="39" ht="30.0" customHeight="1">
      <c r="A39" s="8">
        <v>38.0</v>
      </c>
      <c r="B39" s="8" t="s">
        <v>140</v>
      </c>
      <c r="C39" s="8" t="s">
        <v>34</v>
      </c>
      <c r="D39" s="12" t="s">
        <v>141</v>
      </c>
      <c r="E39" s="8" t="s">
        <v>48</v>
      </c>
      <c r="F39" s="13">
        <v>45908.0</v>
      </c>
      <c r="G39" s="8">
        <v>3.77</v>
      </c>
      <c r="H39" s="8">
        <v>4.2</v>
      </c>
      <c r="I39" s="8">
        <v>10.4</v>
      </c>
      <c r="J39" s="8">
        <v>18.5</v>
      </c>
      <c r="K39" s="4">
        <v>-8.1</v>
      </c>
      <c r="L39" s="8">
        <v>49.89</v>
      </c>
      <c r="M39" s="14" t="s">
        <v>41</v>
      </c>
      <c r="N39" s="8">
        <v>2.0</v>
      </c>
      <c r="O39" s="4">
        <v>2.0</v>
      </c>
      <c r="P39" s="9">
        <v>3.0</v>
      </c>
      <c r="Q39" s="7">
        <v>3.0</v>
      </c>
      <c r="R39" s="9">
        <v>10.0</v>
      </c>
      <c r="S39" s="16">
        <v>1.0</v>
      </c>
      <c r="T39" s="17">
        <v>3.0</v>
      </c>
      <c r="U39" s="18">
        <v>3.0</v>
      </c>
      <c r="V39" s="19">
        <v>2.0</v>
      </c>
      <c r="W39" s="9">
        <v>9.0</v>
      </c>
      <c r="X39" s="10" t="s">
        <v>31</v>
      </c>
      <c r="Y39" s="11" t="s">
        <v>142</v>
      </c>
      <c r="Z39" s="3">
        <v>1.0</v>
      </c>
    </row>
    <row r="40" ht="30.0" customHeight="1">
      <c r="A40" s="4">
        <v>39.0</v>
      </c>
      <c r="B40" s="4" t="s">
        <v>143</v>
      </c>
      <c r="C40" s="4" t="s">
        <v>27</v>
      </c>
      <c r="D40" s="5" t="s">
        <v>144</v>
      </c>
      <c r="E40" s="4" t="s">
        <v>48</v>
      </c>
      <c r="F40" s="6">
        <v>45891.0</v>
      </c>
      <c r="G40" s="4">
        <v>3.71</v>
      </c>
      <c r="H40" s="4">
        <v>7.5</v>
      </c>
      <c r="I40" s="4">
        <v>63.0</v>
      </c>
      <c r="J40" s="4">
        <v>71.0</v>
      </c>
      <c r="K40" s="4">
        <v>-8.0</v>
      </c>
      <c r="L40" s="4">
        <v>13.21</v>
      </c>
      <c r="M40" s="14" t="s">
        <v>41</v>
      </c>
      <c r="N40" s="8">
        <v>2.0</v>
      </c>
      <c r="O40" s="4">
        <v>2.0</v>
      </c>
      <c r="P40" s="9">
        <v>3.0</v>
      </c>
      <c r="Q40" s="7">
        <v>3.0</v>
      </c>
      <c r="R40" s="9">
        <v>10.0</v>
      </c>
      <c r="S40" s="16">
        <v>2.0</v>
      </c>
      <c r="T40" s="17">
        <v>3.0</v>
      </c>
      <c r="U40" s="18">
        <v>3.0</v>
      </c>
      <c r="V40" s="19">
        <v>2.0</v>
      </c>
      <c r="W40" s="9">
        <v>10.0</v>
      </c>
      <c r="X40" s="10" t="s">
        <v>31</v>
      </c>
      <c r="Y40" s="11" t="s">
        <v>145</v>
      </c>
      <c r="Z40" s="3">
        <v>1.0</v>
      </c>
    </row>
    <row r="41" ht="30.0" customHeight="1">
      <c r="A41" s="8">
        <v>40.0</v>
      </c>
      <c r="B41" s="8" t="s">
        <v>146</v>
      </c>
      <c r="C41" s="8" t="s">
        <v>34</v>
      </c>
      <c r="D41" s="12" t="s">
        <v>147</v>
      </c>
      <c r="E41" s="8" t="s">
        <v>29</v>
      </c>
      <c r="F41" s="13">
        <v>45870.0</v>
      </c>
      <c r="G41" s="8">
        <v>3.68</v>
      </c>
      <c r="H41" s="8">
        <v>7.0</v>
      </c>
      <c r="I41" s="8">
        <v>42.0</v>
      </c>
      <c r="J41" s="8">
        <v>54.0</v>
      </c>
      <c r="K41" s="4">
        <v>-12.0</v>
      </c>
      <c r="L41" s="8">
        <v>51.63</v>
      </c>
      <c r="M41" s="15" t="s">
        <v>55</v>
      </c>
      <c r="N41" s="8">
        <v>2.0</v>
      </c>
      <c r="O41" s="4">
        <v>2.0</v>
      </c>
      <c r="P41" s="9">
        <v>3.0</v>
      </c>
      <c r="Q41" s="7">
        <v>3.0</v>
      </c>
      <c r="R41" s="9">
        <v>10.0</v>
      </c>
      <c r="S41" s="16">
        <v>2.0</v>
      </c>
      <c r="T41" s="17">
        <v>3.0</v>
      </c>
      <c r="U41" s="18">
        <v>3.0</v>
      </c>
      <c r="V41" s="19">
        <v>2.0</v>
      </c>
      <c r="W41" s="9">
        <v>10.0</v>
      </c>
      <c r="X41" s="10" t="s">
        <v>31</v>
      </c>
      <c r="Y41" s="11" t="s">
        <v>148</v>
      </c>
      <c r="Z41" s="3">
        <v>1.0</v>
      </c>
    </row>
    <row r="42" ht="30.0" customHeight="1">
      <c r="A42" s="8">
        <v>41.0</v>
      </c>
      <c r="B42" s="8" t="s">
        <v>149</v>
      </c>
      <c r="C42" s="8" t="s">
        <v>34</v>
      </c>
      <c r="D42" s="12" t="s">
        <v>150</v>
      </c>
      <c r="E42" s="8" t="s">
        <v>48</v>
      </c>
      <c r="F42" s="13">
        <v>45868.0</v>
      </c>
      <c r="G42" s="8">
        <v>3.83</v>
      </c>
      <c r="H42" s="8">
        <v>11.0</v>
      </c>
      <c r="I42" s="8">
        <v>41.0</v>
      </c>
      <c r="J42" s="8">
        <v>57.5</v>
      </c>
      <c r="K42" s="4">
        <v>-16.5</v>
      </c>
      <c r="L42" s="8">
        <v>67.37</v>
      </c>
      <c r="M42" s="14" t="s">
        <v>41</v>
      </c>
      <c r="N42" s="8">
        <v>1.0</v>
      </c>
      <c r="O42" s="4">
        <v>2.0</v>
      </c>
      <c r="P42" s="9">
        <v>3.0</v>
      </c>
      <c r="Q42" s="7">
        <v>2.0</v>
      </c>
      <c r="R42" s="9">
        <v>8.0</v>
      </c>
      <c r="S42" s="16">
        <v>1.0</v>
      </c>
      <c r="T42" s="17">
        <v>3.0</v>
      </c>
      <c r="U42" s="18">
        <v>3.0</v>
      </c>
      <c r="V42" s="19">
        <v>2.0</v>
      </c>
      <c r="W42" s="9">
        <v>9.0</v>
      </c>
      <c r="X42" s="10" t="s">
        <v>31</v>
      </c>
      <c r="Y42" s="11" t="s">
        <v>151</v>
      </c>
      <c r="Z42" s="3">
        <v>1.0</v>
      </c>
    </row>
    <row r="43" ht="30.0" customHeight="1">
      <c r="A43" s="8">
        <v>42.0</v>
      </c>
      <c r="B43" s="8" t="s">
        <v>152</v>
      </c>
      <c r="C43" s="8" t="s">
        <v>34</v>
      </c>
      <c r="D43" s="12" t="s">
        <v>153</v>
      </c>
      <c r="E43" s="8" t="s">
        <v>48</v>
      </c>
      <c r="F43" s="13">
        <v>45835.0</v>
      </c>
      <c r="G43" s="8">
        <v>-3.76</v>
      </c>
      <c r="H43" s="8">
        <v>-4.0</v>
      </c>
      <c r="I43" s="8">
        <v>40.5</v>
      </c>
      <c r="J43" s="8">
        <v>36.5</v>
      </c>
      <c r="K43" s="4">
        <v>4.0</v>
      </c>
      <c r="L43" s="8">
        <v>46.05</v>
      </c>
      <c r="M43" s="14" t="s">
        <v>41</v>
      </c>
      <c r="N43" s="8">
        <v>3.0</v>
      </c>
      <c r="O43" s="4">
        <v>2.0</v>
      </c>
      <c r="P43" s="9">
        <v>3.0</v>
      </c>
      <c r="Q43" s="7">
        <v>3.0</v>
      </c>
      <c r="R43" s="9">
        <v>11.0</v>
      </c>
      <c r="S43" s="16">
        <v>3.0</v>
      </c>
      <c r="T43" s="17">
        <v>3.0</v>
      </c>
      <c r="U43" s="18">
        <v>3.0</v>
      </c>
      <c r="V43" s="19">
        <v>2.0</v>
      </c>
      <c r="W43" s="9">
        <v>11.0</v>
      </c>
      <c r="X43" s="10" t="s">
        <v>31</v>
      </c>
      <c r="Y43" s="11" t="s">
        <v>154</v>
      </c>
      <c r="Z43" s="3">
        <v>1.0</v>
      </c>
    </row>
    <row r="44" ht="30.0" customHeight="1">
      <c r="A44" s="4">
        <v>43.0</v>
      </c>
      <c r="B44" s="4" t="s">
        <v>155</v>
      </c>
      <c r="C44" s="4" t="s">
        <v>27</v>
      </c>
      <c r="D44" s="5" t="s">
        <v>156</v>
      </c>
      <c r="E44" s="4" t="s">
        <v>48</v>
      </c>
      <c r="F44" s="6">
        <v>45824.0</v>
      </c>
      <c r="G44" s="4">
        <v>3.76</v>
      </c>
      <c r="H44" s="4">
        <v>5.0</v>
      </c>
      <c r="I44" s="4">
        <v>12.5</v>
      </c>
      <c r="J44" s="4">
        <v>15.5</v>
      </c>
      <c r="K44" s="4">
        <v>-3.0</v>
      </c>
      <c r="L44" s="4">
        <v>19.28</v>
      </c>
      <c r="M44" s="14" t="s">
        <v>41</v>
      </c>
      <c r="N44" s="8">
        <v>3.0</v>
      </c>
      <c r="O44" s="4">
        <v>2.0</v>
      </c>
      <c r="P44" s="9">
        <v>3.0</v>
      </c>
      <c r="Q44" s="7">
        <v>3.0</v>
      </c>
      <c r="R44" s="9">
        <v>11.0</v>
      </c>
      <c r="S44" s="16">
        <v>3.0</v>
      </c>
      <c r="T44" s="17">
        <v>3.0</v>
      </c>
      <c r="U44" s="18">
        <v>3.0</v>
      </c>
      <c r="V44" s="19">
        <v>2.0</v>
      </c>
      <c r="W44" s="9">
        <v>11.0</v>
      </c>
      <c r="X44" s="10" t="s">
        <v>31</v>
      </c>
      <c r="Y44" s="11" t="s">
        <v>157</v>
      </c>
      <c r="Z44" s="3">
        <v>1.0</v>
      </c>
    </row>
    <row r="45" ht="30.0" customHeight="1">
      <c r="A45" s="4">
        <v>44.0</v>
      </c>
      <c r="B45" s="4" t="s">
        <v>158</v>
      </c>
      <c r="C45" s="4" t="s">
        <v>27</v>
      </c>
      <c r="D45" s="5" t="s">
        <v>130</v>
      </c>
      <c r="E45" s="4" t="s">
        <v>29</v>
      </c>
      <c r="F45" s="6">
        <v>45786.0</v>
      </c>
      <c r="G45" s="4">
        <v>3.8</v>
      </c>
      <c r="H45" s="4">
        <v>8.0</v>
      </c>
      <c r="I45" s="4">
        <v>18.0</v>
      </c>
      <c r="J45" s="4">
        <v>24.0</v>
      </c>
      <c r="K45" s="4">
        <v>-6.0</v>
      </c>
      <c r="L45" s="4">
        <v>18.47</v>
      </c>
      <c r="M45" s="14" t="s">
        <v>41</v>
      </c>
      <c r="N45" s="8">
        <v>2.0</v>
      </c>
      <c r="O45" s="4">
        <v>2.0</v>
      </c>
      <c r="P45" s="9">
        <v>3.0</v>
      </c>
      <c r="Q45" s="7">
        <v>3.0</v>
      </c>
      <c r="R45" s="9">
        <v>10.0</v>
      </c>
      <c r="S45" s="16">
        <v>2.0</v>
      </c>
      <c r="T45" s="17">
        <v>3.0</v>
      </c>
      <c r="U45" s="18">
        <v>3.0</v>
      </c>
      <c r="V45" s="19">
        <v>1.0</v>
      </c>
      <c r="W45" s="9">
        <v>9.0</v>
      </c>
      <c r="X45" s="10" t="s">
        <v>31</v>
      </c>
      <c r="Y45" s="11" t="s">
        <v>159</v>
      </c>
      <c r="Z45" s="3">
        <v>1.0</v>
      </c>
    </row>
    <row r="46" ht="30.0" customHeight="1">
      <c r="A46" s="4">
        <v>45.0</v>
      </c>
      <c r="B46" s="4" t="s">
        <v>160</v>
      </c>
      <c r="C46" s="4" t="s">
        <v>27</v>
      </c>
      <c r="D46" s="5" t="s">
        <v>144</v>
      </c>
      <c r="E46" s="4" t="s">
        <v>48</v>
      </c>
      <c r="F46" s="6">
        <v>45754.0</v>
      </c>
      <c r="G46" s="4">
        <v>-3.71</v>
      </c>
      <c r="H46" s="4">
        <v>-6.5</v>
      </c>
      <c r="I46" s="4">
        <v>30.0</v>
      </c>
      <c r="J46" s="4">
        <v>28.5</v>
      </c>
      <c r="K46" s="4">
        <v>1.5</v>
      </c>
      <c r="L46" s="4">
        <v>13.21</v>
      </c>
      <c r="M46" s="14" t="s">
        <v>41</v>
      </c>
      <c r="N46" s="8">
        <v>2.0</v>
      </c>
      <c r="O46" s="4">
        <v>2.0</v>
      </c>
      <c r="P46" s="9">
        <v>0.0</v>
      </c>
      <c r="Q46" s="7">
        <v>3.0</v>
      </c>
      <c r="R46" s="9">
        <v>7.0</v>
      </c>
      <c r="S46" s="16">
        <v>2.0</v>
      </c>
      <c r="T46" s="17">
        <v>3.0</v>
      </c>
      <c r="U46" s="18">
        <v>2.0</v>
      </c>
      <c r="V46" s="19">
        <v>2.0</v>
      </c>
      <c r="W46" s="9">
        <v>9.0</v>
      </c>
      <c r="X46" s="10" t="s">
        <v>56</v>
      </c>
      <c r="Y46" s="11" t="s">
        <v>161</v>
      </c>
      <c r="Z46" s="3">
        <v>1.0</v>
      </c>
    </row>
    <row r="47" ht="30.0" customHeight="1">
      <c r="A47" s="4">
        <v>46.0</v>
      </c>
      <c r="B47" s="4" t="s">
        <v>162</v>
      </c>
      <c r="C47" s="4" t="s">
        <v>27</v>
      </c>
      <c r="D47" s="5" t="s">
        <v>163</v>
      </c>
      <c r="E47" s="4" t="s">
        <v>48</v>
      </c>
      <c r="F47" s="6">
        <v>45724.0</v>
      </c>
      <c r="G47" s="4">
        <v>3.7</v>
      </c>
      <c r="H47" s="4">
        <v>8.5</v>
      </c>
      <c r="I47" s="4">
        <v>17.5</v>
      </c>
      <c r="J47" s="4">
        <v>25.0</v>
      </c>
      <c r="K47" s="4">
        <v>-7.5</v>
      </c>
      <c r="L47" s="4">
        <v>3.11</v>
      </c>
      <c r="M47" s="14" t="s">
        <v>41</v>
      </c>
      <c r="N47" s="8">
        <v>2.0</v>
      </c>
      <c r="O47" s="4">
        <v>2.0</v>
      </c>
      <c r="P47" s="9">
        <v>0.0</v>
      </c>
      <c r="Q47" s="7">
        <v>3.0</v>
      </c>
      <c r="R47" s="9">
        <v>7.0</v>
      </c>
      <c r="S47" s="16">
        <v>2.0</v>
      </c>
      <c r="T47" s="17">
        <v>3.0</v>
      </c>
      <c r="U47" s="18">
        <v>2.0</v>
      </c>
      <c r="V47" s="19">
        <v>2.0</v>
      </c>
      <c r="W47" s="9">
        <v>9.0</v>
      </c>
      <c r="X47" s="10" t="s">
        <v>31</v>
      </c>
      <c r="Y47" s="11" t="s">
        <v>164</v>
      </c>
      <c r="Z47" s="3">
        <v>1.0</v>
      </c>
    </row>
    <row r="48" ht="30.0" customHeight="1">
      <c r="A48" s="4">
        <v>47.0</v>
      </c>
      <c r="B48" s="4" t="s">
        <v>165</v>
      </c>
      <c r="C48" s="4" t="s">
        <v>27</v>
      </c>
      <c r="D48" s="5" t="s">
        <v>166</v>
      </c>
      <c r="E48" s="4" t="s">
        <v>48</v>
      </c>
      <c r="F48" s="6">
        <v>45718.0</v>
      </c>
      <c r="G48" s="4">
        <v>3.74</v>
      </c>
      <c r="H48" s="4">
        <v>5.0</v>
      </c>
      <c r="I48" s="4">
        <v>30.5</v>
      </c>
      <c r="J48" s="4">
        <v>38.5</v>
      </c>
      <c r="K48" s="4">
        <v>-8.0</v>
      </c>
      <c r="L48" s="4">
        <v>16.41</v>
      </c>
      <c r="M48" s="14" t="s">
        <v>41</v>
      </c>
      <c r="N48" s="8">
        <v>2.0</v>
      </c>
      <c r="O48" s="4">
        <v>2.0</v>
      </c>
      <c r="P48" s="9">
        <v>3.0</v>
      </c>
      <c r="Q48" s="7">
        <v>3.0</v>
      </c>
      <c r="R48" s="9">
        <v>10.0</v>
      </c>
      <c r="S48" s="16">
        <v>2.0</v>
      </c>
      <c r="T48" s="17">
        <v>3.0</v>
      </c>
      <c r="U48" s="18">
        <v>2.0</v>
      </c>
      <c r="V48" s="19">
        <v>2.0</v>
      </c>
      <c r="W48" s="9">
        <v>9.0</v>
      </c>
      <c r="X48" s="10" t="s">
        <v>31</v>
      </c>
      <c r="Y48" s="11" t="s">
        <v>167</v>
      </c>
      <c r="Z48" s="3">
        <v>1.0</v>
      </c>
    </row>
    <row r="49" ht="30.0" customHeight="1">
      <c r="A49" s="4">
        <v>48.0</v>
      </c>
      <c r="B49" s="4" t="s">
        <v>168</v>
      </c>
      <c r="C49" s="4" t="s">
        <v>27</v>
      </c>
      <c r="D49" s="5" t="s">
        <v>169</v>
      </c>
      <c r="E49" s="4" t="s">
        <v>29</v>
      </c>
      <c r="F49" s="6">
        <v>45712.0</v>
      </c>
      <c r="G49" s="4">
        <v>-3.79</v>
      </c>
      <c r="H49" s="4">
        <v>-4.5</v>
      </c>
      <c r="I49" s="4">
        <v>24.5</v>
      </c>
      <c r="J49" s="4">
        <v>21.0</v>
      </c>
      <c r="K49" s="4">
        <v>3.5</v>
      </c>
      <c r="L49" s="4">
        <v>10.0</v>
      </c>
      <c r="M49" s="14" t="s">
        <v>41</v>
      </c>
      <c r="N49" s="8">
        <v>2.0</v>
      </c>
      <c r="O49" s="4">
        <v>2.0</v>
      </c>
      <c r="P49" s="9">
        <v>3.0</v>
      </c>
      <c r="Q49" s="7">
        <v>3.0</v>
      </c>
      <c r="R49" s="9">
        <v>10.0</v>
      </c>
      <c r="S49" s="16">
        <v>1.0</v>
      </c>
      <c r="T49" s="17">
        <v>3.0</v>
      </c>
      <c r="U49" s="18">
        <v>2.0</v>
      </c>
      <c r="V49" s="19">
        <v>2.0</v>
      </c>
      <c r="W49" s="9">
        <v>8.0</v>
      </c>
      <c r="X49" s="10" t="s">
        <v>31</v>
      </c>
      <c r="Y49" s="11" t="s">
        <v>170</v>
      </c>
      <c r="Z49" s="3">
        <v>1.0</v>
      </c>
    </row>
    <row r="50" ht="30.0" customHeight="1">
      <c r="A50" s="4">
        <v>49.0</v>
      </c>
      <c r="B50" s="4" t="s">
        <v>171</v>
      </c>
      <c r="C50" s="4" t="s">
        <v>27</v>
      </c>
      <c r="D50" s="5" t="s">
        <v>172</v>
      </c>
      <c r="E50" s="4" t="s">
        <v>48</v>
      </c>
      <c r="F50" s="6">
        <v>45689.0</v>
      </c>
      <c r="G50" s="4">
        <v>-3.7</v>
      </c>
      <c r="H50" s="4">
        <v>-5.5</v>
      </c>
      <c r="I50" s="4">
        <v>28.0</v>
      </c>
      <c r="J50" s="4">
        <v>25.5</v>
      </c>
      <c r="K50" s="4">
        <v>2.5</v>
      </c>
      <c r="L50" s="4">
        <v>7.57</v>
      </c>
      <c r="M50" s="14" t="s">
        <v>41</v>
      </c>
      <c r="N50" s="8">
        <v>3.0</v>
      </c>
      <c r="O50" s="4">
        <v>2.0</v>
      </c>
      <c r="P50" s="9">
        <v>0.0</v>
      </c>
      <c r="Q50" s="7">
        <v>3.0</v>
      </c>
      <c r="R50" s="9">
        <v>8.0</v>
      </c>
      <c r="S50" s="16">
        <v>3.0</v>
      </c>
      <c r="T50" s="17">
        <v>3.0</v>
      </c>
      <c r="U50" s="18">
        <v>2.0</v>
      </c>
      <c r="V50" s="19">
        <v>2.0</v>
      </c>
      <c r="W50" s="9">
        <v>10.0</v>
      </c>
      <c r="X50" s="10" t="s">
        <v>31</v>
      </c>
      <c r="Y50" s="11" t="s">
        <v>173</v>
      </c>
      <c r="Z50" s="3">
        <v>1.0</v>
      </c>
    </row>
    <row r="51" ht="30.0" customHeight="1">
      <c r="A51" s="8">
        <v>50.0</v>
      </c>
      <c r="B51" s="8" t="s">
        <v>174</v>
      </c>
      <c r="C51" s="8" t="s">
        <v>34</v>
      </c>
      <c r="D51" s="12" t="s">
        <v>175</v>
      </c>
      <c r="E51" s="8" t="s">
        <v>48</v>
      </c>
      <c r="F51" s="13">
        <v>45552.0</v>
      </c>
      <c r="G51" s="8">
        <v>-3.74</v>
      </c>
      <c r="H51" s="8">
        <v>-6.0</v>
      </c>
      <c r="I51" s="8">
        <v>44.0</v>
      </c>
      <c r="J51" s="8">
        <v>41.5</v>
      </c>
      <c r="K51" s="4">
        <v>2.5</v>
      </c>
      <c r="L51" s="8">
        <v>8.39</v>
      </c>
      <c r="M51" s="14" t="s">
        <v>41</v>
      </c>
      <c r="N51" s="8">
        <v>2.0</v>
      </c>
      <c r="O51" s="4">
        <v>2.0</v>
      </c>
      <c r="P51" s="9">
        <v>3.0</v>
      </c>
      <c r="Q51" s="7">
        <v>3.0</v>
      </c>
      <c r="R51" s="9">
        <v>10.0</v>
      </c>
      <c r="S51" s="16">
        <v>1.0</v>
      </c>
      <c r="T51" s="17">
        <v>3.0</v>
      </c>
      <c r="U51" s="18">
        <v>3.0</v>
      </c>
      <c r="V51" s="19">
        <v>2.0</v>
      </c>
      <c r="W51" s="9">
        <v>9.0</v>
      </c>
      <c r="X51" s="10" t="s">
        <v>31</v>
      </c>
      <c r="Y51" s="11" t="s">
        <v>176</v>
      </c>
      <c r="Z51" s="3">
        <v>1.0</v>
      </c>
    </row>
    <row r="52" ht="30.0" customHeight="1">
      <c r="A52" s="8">
        <v>51.0</v>
      </c>
      <c r="B52" s="8" t="s">
        <v>177</v>
      </c>
      <c r="C52" s="8" t="s">
        <v>34</v>
      </c>
      <c r="D52" s="12" t="s">
        <v>178</v>
      </c>
      <c r="E52" s="8" t="s">
        <v>48</v>
      </c>
      <c r="F52" s="13">
        <v>45516.0</v>
      </c>
      <c r="G52" s="8">
        <v>3.76</v>
      </c>
      <c r="H52" s="8">
        <v>15.5</v>
      </c>
      <c r="I52" s="8">
        <v>19.0</v>
      </c>
      <c r="J52" s="8">
        <v>21.0</v>
      </c>
      <c r="K52" s="4">
        <v>-2.0</v>
      </c>
      <c r="L52" s="8">
        <v>8.0</v>
      </c>
      <c r="M52" s="14" t="s">
        <v>41</v>
      </c>
      <c r="N52" s="8">
        <v>1.0</v>
      </c>
      <c r="O52" s="4">
        <v>2.0</v>
      </c>
      <c r="P52" s="9">
        <v>3.0</v>
      </c>
      <c r="Q52" s="7">
        <v>3.0</v>
      </c>
      <c r="R52" s="9">
        <v>9.0</v>
      </c>
      <c r="S52" s="16">
        <v>2.0</v>
      </c>
      <c r="T52" s="17">
        <v>1.0</v>
      </c>
      <c r="U52" s="18">
        <v>3.0</v>
      </c>
      <c r="V52" s="19">
        <v>2.0</v>
      </c>
      <c r="W52" s="9">
        <v>8.0</v>
      </c>
      <c r="X52" s="10" t="s">
        <v>56</v>
      </c>
      <c r="Y52" s="11" t="s">
        <v>179</v>
      </c>
      <c r="Z52" s="3">
        <v>1.0</v>
      </c>
    </row>
    <row r="53" ht="15.75" hidden="1" customHeight="1">
      <c r="D53" s="20" t="s">
        <v>180</v>
      </c>
      <c r="K53" s="4"/>
      <c r="N53" s="21">
        <f t="shared" ref="N53:W53" si="1">AVERAGE(N2:N52)</f>
        <v>2.37254902</v>
      </c>
      <c r="O53" s="21">
        <f t="shared" si="1"/>
        <v>2.098039216</v>
      </c>
      <c r="P53" s="21">
        <f t="shared" si="1"/>
        <v>2.156862745</v>
      </c>
      <c r="Q53" s="21">
        <f t="shared" si="1"/>
        <v>2.941176471</v>
      </c>
      <c r="R53" s="21">
        <f t="shared" si="1"/>
        <v>9.568627451</v>
      </c>
      <c r="S53" s="21">
        <f t="shared" si="1"/>
        <v>2.352941176</v>
      </c>
      <c r="T53" s="21">
        <f t="shared" si="1"/>
        <v>2.803921569</v>
      </c>
      <c r="U53" s="21">
        <f t="shared" si="1"/>
        <v>2.568627451</v>
      </c>
      <c r="V53" s="21">
        <f t="shared" si="1"/>
        <v>1.960784314</v>
      </c>
      <c r="W53" s="21">
        <f t="shared" si="1"/>
        <v>9.68627451</v>
      </c>
    </row>
    <row r="54" ht="15.75" hidden="1"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Z$54">
    <filterColumn colId="12">
      <filters blank="1">
        <filter val="No"/>
        <filter val="Yes"/>
      </filters>
    </filterColumn>
    <filterColumn colId="2">
      <filters>
        <filter val="Cripto"/>
        <filter val="FOMC"/>
      </filters>
    </filterColumn>
  </autoFilter>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64.86"/>
  </cols>
  <sheetData>
    <row r="1">
      <c r="A1" s="22" t="s">
        <v>181</v>
      </c>
      <c r="B1" s="22" t="s">
        <v>182</v>
      </c>
      <c r="C1" s="22" t="s">
        <v>5</v>
      </c>
      <c r="D1" s="22" t="s">
        <v>183</v>
      </c>
      <c r="E1" s="22" t="s">
        <v>184</v>
      </c>
      <c r="F1" s="22" t="s">
        <v>185</v>
      </c>
      <c r="G1" s="22" t="s">
        <v>186</v>
      </c>
      <c r="H1" s="22" t="s">
        <v>187</v>
      </c>
      <c r="I1" s="23" t="s">
        <v>188</v>
      </c>
      <c r="J1" s="22" t="s">
        <v>189</v>
      </c>
    </row>
    <row r="2">
      <c r="A2" s="24">
        <v>8.0</v>
      </c>
      <c r="B2" s="25" t="s">
        <v>53</v>
      </c>
      <c r="C2" s="26">
        <v>46051.0</v>
      </c>
      <c r="D2" s="25" t="s">
        <v>27</v>
      </c>
      <c r="E2" s="27" t="s">
        <v>54</v>
      </c>
      <c r="F2" s="28">
        <v>3.74</v>
      </c>
      <c r="G2" s="28">
        <v>80.3</v>
      </c>
      <c r="H2" s="29" t="s">
        <v>190</v>
      </c>
      <c r="I2" s="30" t="s">
        <v>191</v>
      </c>
      <c r="J2" s="29" t="s">
        <v>56</v>
      </c>
    </row>
    <row r="3">
      <c r="A3" s="31">
        <v>13.0</v>
      </c>
      <c r="B3" s="32" t="s">
        <v>71</v>
      </c>
      <c r="C3" s="33">
        <v>46023.0</v>
      </c>
      <c r="D3" s="32" t="s">
        <v>27</v>
      </c>
      <c r="E3" s="34" t="s">
        <v>72</v>
      </c>
      <c r="F3" s="35">
        <v>3.74</v>
      </c>
      <c r="G3" s="35">
        <v>4.8</v>
      </c>
      <c r="H3" s="36" t="s">
        <v>190</v>
      </c>
      <c r="I3" s="37" t="s">
        <v>192</v>
      </c>
      <c r="J3" s="36" t="s">
        <v>56</v>
      </c>
    </row>
    <row r="4">
      <c r="A4" s="24">
        <v>14.0</v>
      </c>
      <c r="B4" s="25" t="s">
        <v>74</v>
      </c>
      <c r="C4" s="26">
        <v>46018.0</v>
      </c>
      <c r="D4" s="25" t="s">
        <v>27</v>
      </c>
      <c r="E4" s="27" t="s">
        <v>75</v>
      </c>
      <c r="F4" s="28">
        <v>3.74</v>
      </c>
      <c r="G4" s="28">
        <v>50.0</v>
      </c>
      <c r="H4" s="29" t="s">
        <v>193</v>
      </c>
      <c r="I4" s="30" t="s">
        <v>192</v>
      </c>
      <c r="J4" s="29" t="s">
        <v>56</v>
      </c>
    </row>
    <row r="5">
      <c r="A5" s="31">
        <v>16.0</v>
      </c>
      <c r="B5" s="32" t="s">
        <v>80</v>
      </c>
      <c r="C5" s="33">
        <v>46008.0</v>
      </c>
      <c r="D5" s="32" t="s">
        <v>27</v>
      </c>
      <c r="E5" s="34" t="s">
        <v>81</v>
      </c>
      <c r="F5" s="35">
        <v>3.72</v>
      </c>
      <c r="G5" s="35">
        <v>4.0</v>
      </c>
      <c r="H5" s="36" t="s">
        <v>193</v>
      </c>
      <c r="I5" s="37" t="s">
        <v>194</v>
      </c>
      <c r="J5" s="36" t="s">
        <v>56</v>
      </c>
    </row>
    <row r="6">
      <c r="A6" s="24">
        <v>17.0</v>
      </c>
      <c r="B6" s="25" t="s">
        <v>83</v>
      </c>
      <c r="C6" s="26">
        <v>46001.0</v>
      </c>
      <c r="D6" s="25" t="s">
        <v>27</v>
      </c>
      <c r="E6" s="27" t="s">
        <v>84</v>
      </c>
      <c r="F6" s="28">
        <v>3.71</v>
      </c>
      <c r="G6" s="28">
        <v>6.0</v>
      </c>
      <c r="H6" s="29" t="s">
        <v>193</v>
      </c>
      <c r="I6" s="37" t="s">
        <v>194</v>
      </c>
      <c r="J6" s="29" t="s">
        <v>56</v>
      </c>
    </row>
    <row r="7">
      <c r="A7" s="31">
        <v>18.0</v>
      </c>
      <c r="B7" s="32" t="s">
        <v>86</v>
      </c>
      <c r="C7" s="33">
        <v>45999.0</v>
      </c>
      <c r="D7" s="32" t="s">
        <v>34</v>
      </c>
      <c r="E7" s="34" t="s">
        <v>62</v>
      </c>
      <c r="F7" s="35">
        <v>3.74</v>
      </c>
      <c r="G7" s="35">
        <v>5.0</v>
      </c>
      <c r="H7" s="36" t="s">
        <v>193</v>
      </c>
      <c r="I7" s="37" t="s">
        <v>194</v>
      </c>
      <c r="J7" s="36" t="s">
        <v>56</v>
      </c>
    </row>
    <row r="8">
      <c r="A8" s="24">
        <v>31.0</v>
      </c>
      <c r="B8" s="25" t="s">
        <v>121</v>
      </c>
      <c r="C8" s="26">
        <v>45931.0</v>
      </c>
      <c r="D8" s="25" t="s">
        <v>34</v>
      </c>
      <c r="E8" s="27" t="s">
        <v>78</v>
      </c>
      <c r="F8" s="28">
        <v>-3.75</v>
      </c>
      <c r="G8" s="28">
        <v>-6.0</v>
      </c>
      <c r="H8" s="29" t="s">
        <v>193</v>
      </c>
      <c r="I8" s="37" t="s">
        <v>194</v>
      </c>
      <c r="J8" s="29" t="s">
        <v>56</v>
      </c>
    </row>
    <row r="9">
      <c r="A9" s="31">
        <v>34.0</v>
      </c>
      <c r="B9" s="36" t="s">
        <v>129</v>
      </c>
      <c r="C9" s="38">
        <v>45927.0</v>
      </c>
      <c r="D9" s="36" t="s">
        <v>27</v>
      </c>
      <c r="E9" s="36" t="s">
        <v>130</v>
      </c>
      <c r="F9" s="36">
        <v>-3.7</v>
      </c>
      <c r="G9" s="36">
        <v>-6.0</v>
      </c>
      <c r="H9" s="36" t="s">
        <v>193</v>
      </c>
      <c r="I9" s="37" t="s">
        <v>194</v>
      </c>
      <c r="J9" s="36" t="s">
        <v>56</v>
      </c>
    </row>
    <row r="10">
      <c r="A10" s="24">
        <v>45.0</v>
      </c>
      <c r="B10" s="29" t="s">
        <v>160</v>
      </c>
      <c r="C10" s="39">
        <v>45754.0</v>
      </c>
      <c r="D10" s="29" t="s">
        <v>27</v>
      </c>
      <c r="E10" s="29" t="s">
        <v>144</v>
      </c>
      <c r="F10" s="29">
        <v>-3.71</v>
      </c>
      <c r="G10" s="29">
        <v>-6.5</v>
      </c>
      <c r="H10" s="29" t="s">
        <v>193</v>
      </c>
      <c r="I10" s="37" t="s">
        <v>194</v>
      </c>
      <c r="J10" s="29" t="s">
        <v>56</v>
      </c>
    </row>
    <row r="11">
      <c r="A11" s="31">
        <v>51.0</v>
      </c>
      <c r="B11" s="36" t="s">
        <v>177</v>
      </c>
      <c r="C11" s="38">
        <v>45516.0</v>
      </c>
      <c r="D11" s="36" t="s">
        <v>34</v>
      </c>
      <c r="E11" s="36" t="s">
        <v>178</v>
      </c>
      <c r="F11" s="36">
        <v>3.76</v>
      </c>
      <c r="G11" s="36">
        <v>15.5</v>
      </c>
      <c r="H11" s="36" t="s">
        <v>193</v>
      </c>
      <c r="I11" s="37" t="s">
        <v>194</v>
      </c>
      <c r="J11" s="36" t="s">
        <v>56</v>
      </c>
    </row>
    <row r="12">
      <c r="A12" s="40"/>
      <c r="B12" s="41"/>
      <c r="C12" s="41"/>
      <c r="D12" s="41"/>
      <c r="E12" s="41"/>
      <c r="F12" s="41"/>
      <c r="G12" s="41"/>
      <c r="H12" s="41"/>
      <c r="I12" s="42"/>
      <c r="J12" s="41"/>
    </row>
    <row r="13">
      <c r="A13" s="43"/>
      <c r="B13" s="44"/>
      <c r="C13" s="44"/>
      <c r="D13" s="44"/>
      <c r="E13" s="44"/>
      <c r="F13" s="44"/>
      <c r="G13" s="44"/>
      <c r="H13" s="44"/>
      <c r="I13" s="45"/>
      <c r="J13" s="44"/>
    </row>
    <row r="14">
      <c r="A14" s="40"/>
      <c r="B14" s="41"/>
      <c r="C14" s="41"/>
      <c r="D14" s="41"/>
      <c r="E14" s="41"/>
      <c r="F14" s="41"/>
      <c r="G14" s="41"/>
      <c r="H14" s="41"/>
      <c r="I14" s="42"/>
      <c r="J14" s="41"/>
    </row>
    <row r="15">
      <c r="A15" s="43"/>
      <c r="B15" s="44"/>
      <c r="C15" s="44"/>
      <c r="D15" s="44"/>
      <c r="E15" s="44"/>
      <c r="F15" s="44"/>
      <c r="G15" s="44"/>
      <c r="H15" s="44"/>
      <c r="I15" s="45"/>
      <c r="J15" s="44"/>
    </row>
    <row r="16">
      <c r="A16" s="40"/>
      <c r="B16" s="41"/>
      <c r="C16" s="41"/>
      <c r="D16" s="41"/>
      <c r="E16" s="41"/>
      <c r="F16" s="41"/>
      <c r="G16" s="41"/>
      <c r="H16" s="41"/>
      <c r="I16" s="42"/>
      <c r="J16" s="41"/>
    </row>
    <row r="17">
      <c r="A17" s="46"/>
      <c r="B17" s="46"/>
      <c r="C17" s="46"/>
      <c r="D17" s="46"/>
      <c r="E17" s="46"/>
      <c r="F17" s="46"/>
      <c r="G17" s="46"/>
      <c r="H17" s="46"/>
      <c r="I17" s="47"/>
      <c r="J17" s="46"/>
    </row>
    <row r="18">
      <c r="A18" s="46"/>
      <c r="B18" s="46"/>
      <c r="C18" s="46"/>
      <c r="D18" s="46"/>
      <c r="E18" s="46"/>
      <c r="F18" s="46"/>
      <c r="G18" s="46"/>
      <c r="H18" s="46"/>
      <c r="I18" s="47"/>
      <c r="J18" s="46"/>
    </row>
    <row r="19">
      <c r="A19" s="48" t="s">
        <v>195</v>
      </c>
      <c r="B19" s="49"/>
      <c r="C19" s="49"/>
      <c r="D19" s="49"/>
      <c r="E19" s="49"/>
      <c r="F19" s="49"/>
      <c r="G19" s="49"/>
      <c r="H19" s="49"/>
      <c r="I19" s="49"/>
      <c r="J19" s="50"/>
    </row>
    <row r="20">
      <c r="A20" s="51" t="s">
        <v>190</v>
      </c>
      <c r="B20" s="52" t="s">
        <v>196</v>
      </c>
      <c r="C20" s="53"/>
      <c r="D20" s="53"/>
      <c r="E20" s="53"/>
      <c r="F20" s="53"/>
      <c r="G20" s="53"/>
      <c r="H20" s="53"/>
      <c r="I20" s="53"/>
      <c r="J20" s="54"/>
    </row>
    <row r="21">
      <c r="A21" s="51" t="s">
        <v>193</v>
      </c>
      <c r="B21" s="52" t="s">
        <v>197</v>
      </c>
      <c r="C21" s="53"/>
      <c r="D21" s="53"/>
      <c r="E21" s="53"/>
      <c r="F21" s="53"/>
      <c r="G21" s="53"/>
      <c r="H21" s="53"/>
      <c r="I21" s="53"/>
      <c r="J21" s="54"/>
    </row>
    <row r="22">
      <c r="A22" s="51" t="s">
        <v>198</v>
      </c>
      <c r="B22" s="55" t="s">
        <v>199</v>
      </c>
      <c r="C22" s="53"/>
      <c r="D22" s="53"/>
      <c r="E22" s="53"/>
      <c r="F22" s="53"/>
      <c r="G22" s="53"/>
      <c r="H22" s="53"/>
      <c r="I22" s="53"/>
      <c r="J22" s="54"/>
    </row>
    <row r="23">
      <c r="A23" s="51" t="s">
        <v>200</v>
      </c>
      <c r="B23" s="52" t="s">
        <v>201</v>
      </c>
      <c r="C23" s="53"/>
      <c r="D23" s="53"/>
      <c r="E23" s="53"/>
      <c r="F23" s="53"/>
      <c r="G23" s="53"/>
      <c r="H23" s="53"/>
      <c r="I23" s="53"/>
      <c r="J23" s="54"/>
    </row>
    <row r="24">
      <c r="A24" s="51" t="s">
        <v>202</v>
      </c>
      <c r="B24" s="55" t="s">
        <v>203</v>
      </c>
      <c r="C24" s="53"/>
      <c r="D24" s="53"/>
      <c r="E24" s="53"/>
      <c r="F24" s="53"/>
      <c r="G24" s="53"/>
      <c r="H24" s="53"/>
      <c r="I24" s="53"/>
      <c r="J24" s="54"/>
    </row>
    <row r="25">
      <c r="A25" s="51" t="s">
        <v>204</v>
      </c>
      <c r="B25" s="55" t="s">
        <v>205</v>
      </c>
      <c r="C25" s="53"/>
      <c r="D25" s="53"/>
      <c r="E25" s="53"/>
      <c r="F25" s="53"/>
      <c r="G25" s="53"/>
      <c r="H25" s="53"/>
      <c r="I25" s="53"/>
      <c r="J25" s="54"/>
    </row>
    <row r="26">
      <c r="I26" s="56"/>
    </row>
    <row r="27">
      <c r="I27" s="56"/>
    </row>
    <row r="28">
      <c r="I28" s="56"/>
    </row>
    <row r="29">
      <c r="I29" s="56"/>
    </row>
    <row r="30">
      <c r="I30" s="56"/>
    </row>
    <row r="31">
      <c r="I31" s="56"/>
    </row>
    <row r="32">
      <c r="I32" s="56"/>
    </row>
    <row r="33">
      <c r="I33" s="56"/>
    </row>
    <row r="34">
      <c r="I34" s="56"/>
    </row>
    <row r="35">
      <c r="I35" s="56"/>
    </row>
    <row r="36">
      <c r="I36" s="56"/>
    </row>
    <row r="37">
      <c r="I37" s="56"/>
    </row>
    <row r="38">
      <c r="I38" s="56"/>
    </row>
    <row r="39">
      <c r="I39" s="56"/>
    </row>
    <row r="40">
      <c r="I40" s="56"/>
    </row>
    <row r="41">
      <c r="I41" s="56"/>
    </row>
    <row r="42">
      <c r="I42" s="56"/>
    </row>
    <row r="43">
      <c r="I43" s="56"/>
    </row>
    <row r="44">
      <c r="I44" s="56"/>
    </row>
    <row r="45">
      <c r="I45" s="56"/>
    </row>
    <row r="46">
      <c r="I46" s="56"/>
    </row>
    <row r="47">
      <c r="I47" s="56"/>
    </row>
    <row r="48">
      <c r="I48" s="56"/>
    </row>
    <row r="49">
      <c r="I49" s="56"/>
    </row>
    <row r="50">
      <c r="I50" s="56"/>
    </row>
    <row r="51">
      <c r="I51" s="56"/>
    </row>
    <row r="52">
      <c r="I52" s="56"/>
    </row>
    <row r="53">
      <c r="I53" s="56"/>
    </row>
    <row r="54">
      <c r="I54" s="56"/>
    </row>
    <row r="55">
      <c r="I55" s="56"/>
    </row>
    <row r="56">
      <c r="I56" s="56"/>
    </row>
    <row r="57">
      <c r="I57" s="56"/>
    </row>
    <row r="58">
      <c r="I58" s="56"/>
    </row>
    <row r="59">
      <c r="I59" s="56"/>
    </row>
    <row r="60">
      <c r="I60" s="56"/>
    </row>
    <row r="61">
      <c r="I61" s="56"/>
    </row>
    <row r="62">
      <c r="I62" s="56"/>
    </row>
    <row r="63">
      <c r="I63" s="56"/>
    </row>
    <row r="64">
      <c r="I64" s="56"/>
    </row>
    <row r="65">
      <c r="I65" s="56"/>
    </row>
    <row r="66">
      <c r="I66" s="56"/>
    </row>
    <row r="67">
      <c r="I67" s="56"/>
    </row>
    <row r="68">
      <c r="I68" s="56"/>
    </row>
    <row r="69">
      <c r="I69" s="56"/>
    </row>
    <row r="70">
      <c r="I70" s="56"/>
    </row>
    <row r="71">
      <c r="I71" s="56"/>
    </row>
    <row r="72">
      <c r="I72" s="56"/>
    </row>
    <row r="73">
      <c r="I73" s="56"/>
    </row>
    <row r="74">
      <c r="I74" s="56"/>
    </row>
    <row r="75">
      <c r="I75" s="56"/>
    </row>
    <row r="76">
      <c r="I76" s="56"/>
    </row>
    <row r="77">
      <c r="I77" s="56"/>
    </row>
    <row r="78">
      <c r="I78" s="56"/>
    </row>
    <row r="79">
      <c r="I79" s="56"/>
    </row>
    <row r="80">
      <c r="I80" s="56"/>
    </row>
    <row r="81">
      <c r="I81" s="56"/>
    </row>
    <row r="82">
      <c r="I82" s="56"/>
    </row>
    <row r="83">
      <c r="I83" s="56"/>
    </row>
    <row r="84">
      <c r="I84" s="56"/>
    </row>
    <row r="85">
      <c r="I85" s="56"/>
    </row>
    <row r="86">
      <c r="I86" s="56"/>
    </row>
    <row r="87">
      <c r="I87" s="56"/>
    </row>
    <row r="88">
      <c r="I88" s="56"/>
    </row>
    <row r="89">
      <c r="I89" s="56"/>
    </row>
    <row r="90">
      <c r="I90" s="56"/>
    </row>
    <row r="91">
      <c r="I91" s="56"/>
    </row>
    <row r="92">
      <c r="I92" s="56"/>
    </row>
    <row r="93">
      <c r="I93" s="56"/>
    </row>
    <row r="94">
      <c r="I94" s="56"/>
    </row>
    <row r="95">
      <c r="I95" s="56"/>
    </row>
    <row r="96">
      <c r="I96" s="56"/>
    </row>
    <row r="97">
      <c r="I97" s="56"/>
    </row>
    <row r="98">
      <c r="I98" s="56"/>
    </row>
    <row r="99">
      <c r="I99" s="56"/>
    </row>
    <row r="100">
      <c r="I100" s="56"/>
    </row>
    <row r="101">
      <c r="I101" s="56"/>
    </row>
    <row r="102">
      <c r="I102" s="56"/>
    </row>
    <row r="103">
      <c r="I103" s="56"/>
    </row>
    <row r="104">
      <c r="I104" s="56"/>
    </row>
    <row r="105">
      <c r="I105" s="56"/>
    </row>
    <row r="106">
      <c r="I106" s="56"/>
    </row>
    <row r="107">
      <c r="I107" s="56"/>
    </row>
    <row r="108">
      <c r="I108" s="56"/>
    </row>
    <row r="109">
      <c r="I109" s="56"/>
    </row>
    <row r="110">
      <c r="I110" s="56"/>
    </row>
    <row r="111">
      <c r="I111" s="56"/>
    </row>
    <row r="112">
      <c r="I112" s="56"/>
    </row>
    <row r="113">
      <c r="I113" s="56"/>
    </row>
    <row r="114">
      <c r="I114" s="56"/>
    </row>
    <row r="115">
      <c r="I115" s="56"/>
    </row>
    <row r="116">
      <c r="I116" s="56"/>
    </row>
    <row r="117">
      <c r="I117" s="56"/>
    </row>
    <row r="118">
      <c r="I118" s="56"/>
    </row>
    <row r="119">
      <c r="I119" s="56"/>
    </row>
    <row r="120">
      <c r="I120" s="56"/>
    </row>
    <row r="121">
      <c r="I121" s="56"/>
    </row>
    <row r="122">
      <c r="I122" s="56"/>
    </row>
    <row r="123">
      <c r="I123" s="56"/>
    </row>
    <row r="124">
      <c r="I124" s="56"/>
    </row>
    <row r="125">
      <c r="I125" s="56"/>
    </row>
    <row r="126">
      <c r="I126" s="56"/>
    </row>
    <row r="127">
      <c r="I127" s="56"/>
    </row>
    <row r="128">
      <c r="I128" s="56"/>
    </row>
    <row r="129">
      <c r="I129" s="56"/>
    </row>
    <row r="130">
      <c r="I130" s="56"/>
    </row>
    <row r="131">
      <c r="I131" s="56"/>
    </row>
    <row r="132">
      <c r="I132" s="56"/>
    </row>
    <row r="133">
      <c r="I133" s="56"/>
    </row>
    <row r="134">
      <c r="I134" s="56"/>
    </row>
    <row r="135">
      <c r="I135" s="56"/>
    </row>
    <row r="136">
      <c r="I136" s="56"/>
    </row>
    <row r="137">
      <c r="I137" s="56"/>
    </row>
    <row r="138">
      <c r="I138" s="56"/>
    </row>
    <row r="139">
      <c r="I139" s="56"/>
    </row>
    <row r="140">
      <c r="I140" s="56"/>
    </row>
    <row r="141">
      <c r="I141" s="56"/>
    </row>
    <row r="142">
      <c r="I142" s="56"/>
    </row>
    <row r="143">
      <c r="I143" s="56"/>
    </row>
    <row r="144">
      <c r="I144" s="56"/>
    </row>
    <row r="145">
      <c r="I145" s="56"/>
    </row>
    <row r="146">
      <c r="I146" s="56"/>
    </row>
    <row r="147">
      <c r="I147" s="56"/>
    </row>
    <row r="148">
      <c r="I148" s="56"/>
    </row>
    <row r="149">
      <c r="I149" s="56"/>
    </row>
    <row r="150">
      <c r="I150" s="56"/>
    </row>
    <row r="151">
      <c r="I151" s="56"/>
    </row>
    <row r="152">
      <c r="I152" s="56"/>
    </row>
    <row r="153">
      <c r="I153" s="56"/>
    </row>
    <row r="154">
      <c r="I154" s="56"/>
    </row>
    <row r="155">
      <c r="I155" s="56"/>
    </row>
    <row r="156">
      <c r="I156" s="56"/>
    </row>
    <row r="157">
      <c r="I157" s="56"/>
    </row>
    <row r="158">
      <c r="I158" s="56"/>
    </row>
    <row r="159">
      <c r="I159" s="56"/>
    </row>
    <row r="160">
      <c r="I160" s="56"/>
    </row>
    <row r="161">
      <c r="I161" s="56"/>
    </row>
    <row r="162">
      <c r="I162" s="56"/>
    </row>
    <row r="163">
      <c r="I163" s="56"/>
    </row>
    <row r="164">
      <c r="I164" s="56"/>
    </row>
    <row r="165">
      <c r="I165" s="56"/>
    </row>
    <row r="166">
      <c r="I166" s="56"/>
    </row>
    <row r="167">
      <c r="I167" s="56"/>
    </row>
    <row r="168">
      <c r="I168" s="56"/>
    </row>
    <row r="169">
      <c r="I169" s="56"/>
    </row>
    <row r="170">
      <c r="I170" s="56"/>
    </row>
    <row r="171">
      <c r="I171" s="56"/>
    </row>
    <row r="172">
      <c r="I172" s="56"/>
    </row>
    <row r="173">
      <c r="I173" s="56"/>
    </row>
    <row r="174">
      <c r="I174" s="56"/>
    </row>
    <row r="175">
      <c r="I175" s="56"/>
    </row>
    <row r="176">
      <c r="I176" s="56"/>
    </row>
    <row r="177">
      <c r="I177" s="56"/>
    </row>
    <row r="178">
      <c r="I178" s="56"/>
    </row>
    <row r="179">
      <c r="I179" s="56"/>
    </row>
    <row r="180">
      <c r="I180" s="56"/>
    </row>
    <row r="181">
      <c r="I181" s="56"/>
    </row>
    <row r="182">
      <c r="I182" s="56"/>
    </row>
    <row r="183">
      <c r="I183" s="56"/>
    </row>
    <row r="184">
      <c r="I184" s="56"/>
    </row>
    <row r="185">
      <c r="I185" s="56"/>
    </row>
    <row r="186">
      <c r="I186" s="56"/>
    </row>
    <row r="187">
      <c r="I187" s="56"/>
    </row>
    <row r="188">
      <c r="I188" s="56"/>
    </row>
    <row r="189">
      <c r="I189" s="56"/>
    </row>
    <row r="190">
      <c r="I190" s="56"/>
    </row>
    <row r="191">
      <c r="I191" s="56"/>
    </row>
    <row r="192">
      <c r="I192" s="56"/>
    </row>
    <row r="193">
      <c r="I193" s="56"/>
    </row>
    <row r="194">
      <c r="I194" s="56"/>
    </row>
    <row r="195">
      <c r="I195" s="56"/>
    </row>
    <row r="196">
      <c r="I196" s="56"/>
    </row>
    <row r="197">
      <c r="I197" s="56"/>
    </row>
    <row r="198">
      <c r="I198" s="56"/>
    </row>
    <row r="199">
      <c r="I199" s="56"/>
    </row>
    <row r="200">
      <c r="I200" s="56"/>
    </row>
    <row r="201">
      <c r="I201" s="56"/>
    </row>
    <row r="202">
      <c r="I202" s="56"/>
    </row>
    <row r="203">
      <c r="I203" s="56"/>
    </row>
    <row r="204">
      <c r="I204" s="56"/>
    </row>
    <row r="205">
      <c r="I205" s="56"/>
    </row>
    <row r="206">
      <c r="I206" s="56"/>
    </row>
    <row r="207">
      <c r="I207" s="56"/>
    </row>
    <row r="208">
      <c r="I208" s="56"/>
    </row>
    <row r="209">
      <c r="I209" s="56"/>
    </row>
    <row r="210">
      <c r="I210" s="56"/>
    </row>
    <row r="211">
      <c r="I211" s="56"/>
    </row>
    <row r="212">
      <c r="I212" s="56"/>
    </row>
    <row r="213">
      <c r="I213" s="56"/>
    </row>
    <row r="214">
      <c r="I214" s="56"/>
    </row>
    <row r="215">
      <c r="I215" s="56"/>
    </row>
    <row r="216">
      <c r="I216" s="56"/>
    </row>
    <row r="217">
      <c r="I217" s="56"/>
    </row>
    <row r="218">
      <c r="I218" s="56"/>
    </row>
    <row r="219">
      <c r="I219" s="56"/>
    </row>
    <row r="220">
      <c r="I220" s="56"/>
    </row>
    <row r="221">
      <c r="I221" s="56"/>
    </row>
    <row r="222">
      <c r="I222" s="56"/>
    </row>
    <row r="223">
      <c r="I223" s="56"/>
    </row>
    <row r="224">
      <c r="I224" s="56"/>
    </row>
    <row r="225">
      <c r="I225" s="56"/>
    </row>
    <row r="226">
      <c r="I226" s="56"/>
    </row>
    <row r="227">
      <c r="I227" s="56"/>
    </row>
    <row r="228">
      <c r="I228" s="56"/>
    </row>
    <row r="229">
      <c r="I229" s="56"/>
    </row>
    <row r="230">
      <c r="I230" s="56"/>
    </row>
    <row r="231">
      <c r="I231" s="56"/>
    </row>
    <row r="232">
      <c r="I232" s="56"/>
    </row>
    <row r="233">
      <c r="I233" s="56"/>
    </row>
    <row r="234">
      <c r="I234" s="56"/>
    </row>
    <row r="235">
      <c r="I235" s="56"/>
    </row>
    <row r="236">
      <c r="I236" s="56"/>
    </row>
    <row r="237">
      <c r="I237" s="56"/>
    </row>
    <row r="238">
      <c r="I238" s="56"/>
    </row>
    <row r="239">
      <c r="I239" s="56"/>
    </row>
    <row r="240">
      <c r="I240" s="56"/>
    </row>
    <row r="241">
      <c r="I241" s="56"/>
    </row>
    <row r="242">
      <c r="I242" s="56"/>
    </row>
    <row r="243">
      <c r="I243" s="56"/>
    </row>
    <row r="244">
      <c r="I244" s="56"/>
    </row>
    <row r="245">
      <c r="I245" s="56"/>
    </row>
    <row r="246">
      <c r="I246" s="56"/>
    </row>
    <row r="247">
      <c r="I247" s="56"/>
    </row>
    <row r="248">
      <c r="I248" s="56"/>
    </row>
    <row r="249">
      <c r="I249" s="56"/>
    </row>
    <row r="250">
      <c r="I250" s="56"/>
    </row>
    <row r="251">
      <c r="I251" s="56"/>
    </row>
    <row r="252">
      <c r="I252" s="56"/>
    </row>
    <row r="253">
      <c r="I253" s="56"/>
    </row>
    <row r="254">
      <c r="I254" s="56"/>
    </row>
    <row r="255">
      <c r="I255" s="56"/>
    </row>
    <row r="256">
      <c r="I256" s="56"/>
    </row>
    <row r="257">
      <c r="I257" s="56"/>
    </row>
    <row r="258">
      <c r="I258" s="56"/>
    </row>
    <row r="259">
      <c r="I259" s="56"/>
    </row>
    <row r="260">
      <c r="I260" s="56"/>
    </row>
    <row r="261">
      <c r="I261" s="56"/>
    </row>
    <row r="262">
      <c r="I262" s="56"/>
    </row>
    <row r="263">
      <c r="I263" s="56"/>
    </row>
    <row r="264">
      <c r="I264" s="56"/>
    </row>
    <row r="265">
      <c r="I265" s="56"/>
    </row>
    <row r="266">
      <c r="I266" s="56"/>
    </row>
    <row r="267">
      <c r="I267" s="56"/>
    </row>
    <row r="268">
      <c r="I268" s="56"/>
    </row>
    <row r="269">
      <c r="I269" s="56"/>
    </row>
    <row r="270">
      <c r="I270" s="56"/>
    </row>
    <row r="271">
      <c r="I271" s="56"/>
    </row>
    <row r="272">
      <c r="I272" s="56"/>
    </row>
    <row r="273">
      <c r="I273" s="56"/>
    </row>
    <row r="274">
      <c r="I274" s="56"/>
    </row>
    <row r="275">
      <c r="I275" s="56"/>
    </row>
    <row r="276">
      <c r="I276" s="56"/>
    </row>
    <row r="277">
      <c r="I277" s="56"/>
    </row>
    <row r="278">
      <c r="I278" s="56"/>
    </row>
    <row r="279">
      <c r="I279" s="56"/>
    </row>
    <row r="280">
      <c r="I280" s="56"/>
    </row>
    <row r="281">
      <c r="I281" s="56"/>
    </row>
    <row r="282">
      <c r="I282" s="56"/>
    </row>
    <row r="283">
      <c r="I283" s="56"/>
    </row>
    <row r="284">
      <c r="I284" s="56"/>
    </row>
    <row r="285">
      <c r="I285" s="56"/>
    </row>
    <row r="286">
      <c r="I286" s="56"/>
    </row>
    <row r="287">
      <c r="I287" s="56"/>
    </row>
    <row r="288">
      <c r="I288" s="56"/>
    </row>
    <row r="289">
      <c r="I289" s="56"/>
    </row>
    <row r="290">
      <c r="I290" s="56"/>
    </row>
    <row r="291">
      <c r="I291" s="56"/>
    </row>
    <row r="292">
      <c r="I292" s="56"/>
    </row>
    <row r="293">
      <c r="I293" s="56"/>
    </row>
    <row r="294">
      <c r="I294" s="56"/>
    </row>
    <row r="295">
      <c r="I295" s="56"/>
    </row>
    <row r="296">
      <c r="I296" s="56"/>
    </row>
    <row r="297">
      <c r="I297" s="56"/>
    </row>
    <row r="298">
      <c r="I298" s="56"/>
    </row>
    <row r="299">
      <c r="I299" s="56"/>
    </row>
    <row r="300">
      <c r="I300" s="56"/>
    </row>
    <row r="301">
      <c r="I301" s="56"/>
    </row>
    <row r="302">
      <c r="I302" s="56"/>
    </row>
    <row r="303">
      <c r="I303" s="56"/>
    </row>
    <row r="304">
      <c r="I304" s="56"/>
    </row>
    <row r="305">
      <c r="I305" s="56"/>
    </row>
    <row r="306">
      <c r="I306" s="56"/>
    </row>
    <row r="307">
      <c r="I307" s="56"/>
    </row>
    <row r="308">
      <c r="I308" s="56"/>
    </row>
    <row r="309">
      <c r="I309" s="56"/>
    </row>
    <row r="310">
      <c r="I310" s="56"/>
    </row>
    <row r="311">
      <c r="I311" s="56"/>
    </row>
    <row r="312">
      <c r="I312" s="56"/>
    </row>
    <row r="313">
      <c r="I313" s="56"/>
    </row>
    <row r="314">
      <c r="I314" s="56"/>
    </row>
    <row r="315">
      <c r="I315" s="56"/>
    </row>
    <row r="316">
      <c r="I316" s="56"/>
    </row>
    <row r="317">
      <c r="I317" s="56"/>
    </row>
    <row r="318">
      <c r="I318" s="56"/>
    </row>
    <row r="319">
      <c r="I319" s="56"/>
    </row>
    <row r="320">
      <c r="I320" s="56"/>
    </row>
    <row r="321">
      <c r="I321" s="56"/>
    </row>
    <row r="322">
      <c r="I322" s="56"/>
    </row>
    <row r="323">
      <c r="I323" s="56"/>
    </row>
    <row r="324">
      <c r="I324" s="56"/>
    </row>
    <row r="325">
      <c r="I325" s="56"/>
    </row>
    <row r="326">
      <c r="I326" s="56"/>
    </row>
    <row r="327">
      <c r="I327" s="56"/>
    </row>
    <row r="328">
      <c r="I328" s="56"/>
    </row>
    <row r="329">
      <c r="I329" s="56"/>
    </row>
    <row r="330">
      <c r="I330" s="56"/>
    </row>
    <row r="331">
      <c r="I331" s="56"/>
    </row>
    <row r="332">
      <c r="I332" s="56"/>
    </row>
    <row r="333">
      <c r="I333" s="56"/>
    </row>
    <row r="334">
      <c r="I334" s="56"/>
    </row>
    <row r="335">
      <c r="I335" s="56"/>
    </row>
    <row r="336">
      <c r="I336" s="56"/>
    </row>
    <row r="337">
      <c r="I337" s="56"/>
    </row>
    <row r="338">
      <c r="I338" s="56"/>
    </row>
    <row r="339">
      <c r="I339" s="56"/>
    </row>
    <row r="340">
      <c r="I340" s="56"/>
    </row>
    <row r="341">
      <c r="I341" s="56"/>
    </row>
    <row r="342">
      <c r="I342" s="56"/>
    </row>
    <row r="343">
      <c r="I343" s="56"/>
    </row>
    <row r="344">
      <c r="I344" s="56"/>
    </row>
    <row r="345">
      <c r="I345" s="56"/>
    </row>
    <row r="346">
      <c r="I346" s="56"/>
    </row>
    <row r="347">
      <c r="I347" s="56"/>
    </row>
    <row r="348">
      <c r="I348" s="56"/>
    </row>
    <row r="349">
      <c r="I349" s="56"/>
    </row>
    <row r="350">
      <c r="I350" s="56"/>
    </row>
    <row r="351">
      <c r="I351" s="56"/>
    </row>
    <row r="352">
      <c r="I352" s="56"/>
    </row>
    <row r="353">
      <c r="I353" s="56"/>
    </row>
    <row r="354">
      <c r="I354" s="56"/>
    </row>
    <row r="355">
      <c r="I355" s="56"/>
    </row>
    <row r="356">
      <c r="I356" s="56"/>
    </row>
    <row r="357">
      <c r="I357" s="56"/>
    </row>
    <row r="358">
      <c r="I358" s="56"/>
    </row>
    <row r="359">
      <c r="I359" s="56"/>
    </row>
    <row r="360">
      <c r="I360" s="56"/>
    </row>
    <row r="361">
      <c r="I361" s="56"/>
    </row>
    <row r="362">
      <c r="I362" s="56"/>
    </row>
    <row r="363">
      <c r="I363" s="56"/>
    </row>
    <row r="364">
      <c r="I364" s="56"/>
    </row>
    <row r="365">
      <c r="I365" s="56"/>
    </row>
    <row r="366">
      <c r="I366" s="56"/>
    </row>
    <row r="367">
      <c r="I367" s="56"/>
    </row>
    <row r="368">
      <c r="I368" s="56"/>
    </row>
    <row r="369">
      <c r="I369" s="56"/>
    </row>
    <row r="370">
      <c r="I370" s="56"/>
    </row>
    <row r="371">
      <c r="I371" s="56"/>
    </row>
    <row r="372">
      <c r="I372" s="56"/>
    </row>
    <row r="373">
      <c r="I373" s="56"/>
    </row>
    <row r="374">
      <c r="I374" s="56"/>
    </row>
    <row r="375">
      <c r="I375" s="56"/>
    </row>
    <row r="376">
      <c r="I376" s="56"/>
    </row>
    <row r="377">
      <c r="I377" s="56"/>
    </row>
    <row r="378">
      <c r="I378" s="56"/>
    </row>
    <row r="379">
      <c r="I379" s="56"/>
    </row>
    <row r="380">
      <c r="I380" s="56"/>
    </row>
    <row r="381">
      <c r="I381" s="56"/>
    </row>
    <row r="382">
      <c r="I382" s="56"/>
    </row>
    <row r="383">
      <c r="I383" s="56"/>
    </row>
    <row r="384">
      <c r="I384" s="56"/>
    </row>
    <row r="385">
      <c r="I385" s="56"/>
    </row>
    <row r="386">
      <c r="I386" s="56"/>
    </row>
    <row r="387">
      <c r="I387" s="56"/>
    </row>
    <row r="388">
      <c r="I388" s="56"/>
    </row>
    <row r="389">
      <c r="I389" s="56"/>
    </row>
    <row r="390">
      <c r="I390" s="56"/>
    </row>
    <row r="391">
      <c r="I391" s="56"/>
    </row>
    <row r="392">
      <c r="I392" s="56"/>
    </row>
    <row r="393">
      <c r="I393" s="56"/>
    </row>
    <row r="394">
      <c r="I394" s="56"/>
    </row>
    <row r="395">
      <c r="I395" s="56"/>
    </row>
    <row r="396">
      <c r="I396" s="56"/>
    </row>
    <row r="397">
      <c r="I397" s="56"/>
    </row>
    <row r="398">
      <c r="I398" s="56"/>
    </row>
    <row r="399">
      <c r="I399" s="56"/>
    </row>
    <row r="400">
      <c r="I400" s="56"/>
    </row>
    <row r="401">
      <c r="I401" s="56"/>
    </row>
    <row r="402">
      <c r="I402" s="56"/>
    </row>
    <row r="403">
      <c r="I403" s="56"/>
    </row>
    <row r="404">
      <c r="I404" s="56"/>
    </row>
    <row r="405">
      <c r="I405" s="56"/>
    </row>
    <row r="406">
      <c r="I406" s="56"/>
    </row>
    <row r="407">
      <c r="I407" s="56"/>
    </row>
    <row r="408">
      <c r="I408" s="56"/>
    </row>
    <row r="409">
      <c r="I409" s="56"/>
    </row>
    <row r="410">
      <c r="I410" s="56"/>
    </row>
    <row r="411">
      <c r="I411" s="56"/>
    </row>
    <row r="412">
      <c r="I412" s="56"/>
    </row>
    <row r="413">
      <c r="I413" s="56"/>
    </row>
    <row r="414">
      <c r="I414" s="56"/>
    </row>
    <row r="415">
      <c r="I415" s="56"/>
    </row>
    <row r="416">
      <c r="I416" s="56"/>
    </row>
    <row r="417">
      <c r="I417" s="56"/>
    </row>
    <row r="418">
      <c r="I418" s="56"/>
    </row>
    <row r="419">
      <c r="I419" s="56"/>
    </row>
    <row r="420">
      <c r="I420" s="56"/>
    </row>
    <row r="421">
      <c r="I421" s="56"/>
    </row>
    <row r="422">
      <c r="I422" s="56"/>
    </row>
    <row r="423">
      <c r="I423" s="56"/>
    </row>
    <row r="424">
      <c r="I424" s="56"/>
    </row>
    <row r="425">
      <c r="I425" s="56"/>
    </row>
    <row r="426">
      <c r="I426" s="56"/>
    </row>
    <row r="427">
      <c r="I427" s="56"/>
    </row>
    <row r="428">
      <c r="I428" s="56"/>
    </row>
    <row r="429">
      <c r="I429" s="56"/>
    </row>
    <row r="430">
      <c r="I430" s="56"/>
    </row>
    <row r="431">
      <c r="I431" s="56"/>
    </row>
    <row r="432">
      <c r="I432" s="56"/>
    </row>
    <row r="433">
      <c r="I433" s="56"/>
    </row>
    <row r="434">
      <c r="I434" s="56"/>
    </row>
    <row r="435">
      <c r="I435" s="56"/>
    </row>
    <row r="436">
      <c r="I436" s="56"/>
    </row>
    <row r="437">
      <c r="I437" s="56"/>
    </row>
    <row r="438">
      <c r="I438" s="56"/>
    </row>
    <row r="439">
      <c r="I439" s="56"/>
    </row>
    <row r="440">
      <c r="I440" s="56"/>
    </row>
    <row r="441">
      <c r="I441" s="56"/>
    </row>
    <row r="442">
      <c r="I442" s="56"/>
    </row>
    <row r="443">
      <c r="I443" s="56"/>
    </row>
    <row r="444">
      <c r="I444" s="56"/>
    </row>
    <row r="445">
      <c r="I445" s="56"/>
    </row>
    <row r="446">
      <c r="I446" s="56"/>
    </row>
    <row r="447">
      <c r="I447" s="56"/>
    </row>
    <row r="448">
      <c r="I448" s="56"/>
    </row>
    <row r="449">
      <c r="I449" s="56"/>
    </row>
    <row r="450">
      <c r="I450" s="56"/>
    </row>
    <row r="451">
      <c r="I451" s="56"/>
    </row>
    <row r="452">
      <c r="I452" s="56"/>
    </row>
    <row r="453">
      <c r="I453" s="56"/>
    </row>
    <row r="454">
      <c r="I454" s="56"/>
    </row>
    <row r="455">
      <c r="I455" s="56"/>
    </row>
    <row r="456">
      <c r="I456" s="56"/>
    </row>
    <row r="457">
      <c r="I457" s="56"/>
    </row>
    <row r="458">
      <c r="I458" s="56"/>
    </row>
    <row r="459">
      <c r="I459" s="56"/>
    </row>
    <row r="460">
      <c r="I460" s="56"/>
    </row>
    <row r="461">
      <c r="I461" s="56"/>
    </row>
    <row r="462">
      <c r="I462" s="56"/>
    </row>
    <row r="463">
      <c r="I463" s="56"/>
    </row>
    <row r="464">
      <c r="I464" s="56"/>
    </row>
    <row r="465">
      <c r="I465" s="56"/>
    </row>
    <row r="466">
      <c r="I466" s="56"/>
    </row>
    <row r="467">
      <c r="I467" s="56"/>
    </row>
    <row r="468">
      <c r="I468" s="56"/>
    </row>
    <row r="469">
      <c r="I469" s="56"/>
    </row>
    <row r="470">
      <c r="I470" s="56"/>
    </row>
    <row r="471">
      <c r="I471" s="56"/>
    </row>
    <row r="472">
      <c r="I472" s="56"/>
    </row>
    <row r="473">
      <c r="I473" s="56"/>
    </row>
    <row r="474">
      <c r="I474" s="56"/>
    </row>
    <row r="475">
      <c r="I475" s="56"/>
    </row>
    <row r="476">
      <c r="I476" s="56"/>
    </row>
    <row r="477">
      <c r="I477" s="56"/>
    </row>
    <row r="478">
      <c r="I478" s="56"/>
    </row>
    <row r="479">
      <c r="I479" s="56"/>
    </row>
    <row r="480">
      <c r="I480" s="56"/>
    </row>
    <row r="481">
      <c r="I481" s="56"/>
    </row>
    <row r="482">
      <c r="I482" s="56"/>
    </row>
    <row r="483">
      <c r="I483" s="56"/>
    </row>
    <row r="484">
      <c r="I484" s="56"/>
    </row>
    <row r="485">
      <c r="I485" s="56"/>
    </row>
    <row r="486">
      <c r="I486" s="56"/>
    </row>
    <row r="487">
      <c r="I487" s="56"/>
    </row>
    <row r="488">
      <c r="I488" s="56"/>
    </row>
    <row r="489">
      <c r="I489" s="56"/>
    </row>
    <row r="490">
      <c r="I490" s="56"/>
    </row>
    <row r="491">
      <c r="I491" s="56"/>
    </row>
    <row r="492">
      <c r="I492" s="56"/>
    </row>
    <row r="493">
      <c r="I493" s="56"/>
    </row>
    <row r="494">
      <c r="I494" s="56"/>
    </row>
    <row r="495">
      <c r="I495" s="56"/>
    </row>
    <row r="496">
      <c r="I496" s="56"/>
    </row>
    <row r="497">
      <c r="I497" s="56"/>
    </row>
    <row r="498">
      <c r="I498" s="56"/>
    </row>
    <row r="499">
      <c r="I499" s="56"/>
    </row>
    <row r="500">
      <c r="I500" s="56"/>
    </row>
    <row r="501">
      <c r="I501" s="56"/>
    </row>
    <row r="502">
      <c r="I502" s="56"/>
    </row>
    <row r="503">
      <c r="I503" s="56"/>
    </row>
    <row r="504">
      <c r="I504" s="56"/>
    </row>
    <row r="505">
      <c r="I505" s="56"/>
    </row>
    <row r="506">
      <c r="I506" s="56"/>
    </row>
    <row r="507">
      <c r="I507" s="56"/>
    </row>
    <row r="508">
      <c r="I508" s="56"/>
    </row>
    <row r="509">
      <c r="I509" s="56"/>
    </row>
    <row r="510">
      <c r="I510" s="56"/>
    </row>
    <row r="511">
      <c r="I511" s="56"/>
    </row>
    <row r="512">
      <c r="I512" s="56"/>
    </row>
    <row r="513">
      <c r="I513" s="56"/>
    </row>
    <row r="514">
      <c r="I514" s="56"/>
    </row>
    <row r="515">
      <c r="I515" s="56"/>
    </row>
    <row r="516">
      <c r="I516" s="56"/>
    </row>
    <row r="517">
      <c r="I517" s="56"/>
    </row>
    <row r="518">
      <c r="I518" s="56"/>
    </row>
    <row r="519">
      <c r="I519" s="56"/>
    </row>
    <row r="520">
      <c r="I520" s="56"/>
    </row>
    <row r="521">
      <c r="I521" s="56"/>
    </row>
    <row r="522">
      <c r="I522" s="56"/>
    </row>
    <row r="523">
      <c r="I523" s="56"/>
    </row>
    <row r="524">
      <c r="I524" s="56"/>
    </row>
    <row r="525">
      <c r="I525" s="56"/>
    </row>
    <row r="526">
      <c r="I526" s="56"/>
    </row>
    <row r="527">
      <c r="I527" s="56"/>
    </row>
    <row r="528">
      <c r="I528" s="56"/>
    </row>
    <row r="529">
      <c r="I529" s="56"/>
    </row>
    <row r="530">
      <c r="I530" s="56"/>
    </row>
    <row r="531">
      <c r="I531" s="56"/>
    </row>
    <row r="532">
      <c r="I532" s="56"/>
    </row>
    <row r="533">
      <c r="I533" s="56"/>
    </row>
    <row r="534">
      <c r="I534" s="56"/>
    </row>
    <row r="535">
      <c r="I535" s="56"/>
    </row>
    <row r="536">
      <c r="I536" s="56"/>
    </row>
    <row r="537">
      <c r="I537" s="56"/>
    </row>
    <row r="538">
      <c r="I538" s="56"/>
    </row>
    <row r="539">
      <c r="I539" s="56"/>
    </row>
    <row r="540">
      <c r="I540" s="56"/>
    </row>
    <row r="541">
      <c r="I541" s="56"/>
    </row>
    <row r="542">
      <c r="I542" s="56"/>
    </row>
    <row r="543">
      <c r="I543" s="56"/>
    </row>
    <row r="544">
      <c r="I544" s="56"/>
    </row>
    <row r="545">
      <c r="I545" s="56"/>
    </row>
    <row r="546">
      <c r="I546" s="56"/>
    </row>
    <row r="547">
      <c r="I547" s="56"/>
    </row>
    <row r="548">
      <c r="I548" s="56"/>
    </row>
    <row r="549">
      <c r="I549" s="56"/>
    </row>
    <row r="550">
      <c r="I550" s="56"/>
    </row>
    <row r="551">
      <c r="I551" s="56"/>
    </row>
    <row r="552">
      <c r="I552" s="56"/>
    </row>
    <row r="553">
      <c r="I553" s="56"/>
    </row>
    <row r="554">
      <c r="I554" s="56"/>
    </row>
    <row r="555">
      <c r="I555" s="56"/>
    </row>
    <row r="556">
      <c r="I556" s="56"/>
    </row>
    <row r="557">
      <c r="I557" s="56"/>
    </row>
    <row r="558">
      <c r="I558" s="56"/>
    </row>
    <row r="559">
      <c r="I559" s="56"/>
    </row>
    <row r="560">
      <c r="I560" s="56"/>
    </row>
    <row r="561">
      <c r="I561" s="56"/>
    </row>
    <row r="562">
      <c r="I562" s="56"/>
    </row>
    <row r="563">
      <c r="I563" s="56"/>
    </row>
    <row r="564">
      <c r="I564" s="56"/>
    </row>
    <row r="565">
      <c r="I565" s="56"/>
    </row>
    <row r="566">
      <c r="I566" s="56"/>
    </row>
    <row r="567">
      <c r="I567" s="56"/>
    </row>
    <row r="568">
      <c r="I568" s="56"/>
    </row>
    <row r="569">
      <c r="I569" s="56"/>
    </row>
    <row r="570">
      <c r="I570" s="56"/>
    </row>
    <row r="571">
      <c r="I571" s="56"/>
    </row>
    <row r="572">
      <c r="I572" s="56"/>
    </row>
    <row r="573">
      <c r="I573" s="56"/>
    </row>
    <row r="574">
      <c r="I574" s="56"/>
    </row>
    <row r="575">
      <c r="I575" s="56"/>
    </row>
    <row r="576">
      <c r="I576" s="56"/>
    </row>
    <row r="577">
      <c r="I577" s="56"/>
    </row>
    <row r="578">
      <c r="I578" s="56"/>
    </row>
    <row r="579">
      <c r="I579" s="56"/>
    </row>
    <row r="580">
      <c r="I580" s="56"/>
    </row>
    <row r="581">
      <c r="I581" s="56"/>
    </row>
    <row r="582">
      <c r="I582" s="56"/>
    </row>
    <row r="583">
      <c r="I583" s="56"/>
    </row>
    <row r="584">
      <c r="I584" s="56"/>
    </row>
    <row r="585">
      <c r="I585" s="56"/>
    </row>
    <row r="586">
      <c r="I586" s="56"/>
    </row>
    <row r="587">
      <c r="I587" s="56"/>
    </row>
    <row r="588">
      <c r="I588" s="56"/>
    </row>
    <row r="589">
      <c r="I589" s="56"/>
    </row>
    <row r="590">
      <c r="I590" s="56"/>
    </row>
    <row r="591">
      <c r="I591" s="56"/>
    </row>
    <row r="592">
      <c r="I592" s="56"/>
    </row>
    <row r="593">
      <c r="I593" s="56"/>
    </row>
    <row r="594">
      <c r="I594" s="56"/>
    </row>
    <row r="595">
      <c r="I595" s="56"/>
    </row>
    <row r="596">
      <c r="I596" s="56"/>
    </row>
    <row r="597">
      <c r="I597" s="56"/>
    </row>
    <row r="598">
      <c r="I598" s="56"/>
    </row>
    <row r="599">
      <c r="I599" s="56"/>
    </row>
    <row r="600">
      <c r="I600" s="56"/>
    </row>
    <row r="601">
      <c r="I601" s="56"/>
    </row>
    <row r="602">
      <c r="I602" s="56"/>
    </row>
    <row r="603">
      <c r="I603" s="56"/>
    </row>
    <row r="604">
      <c r="I604" s="56"/>
    </row>
    <row r="605">
      <c r="I605" s="56"/>
    </row>
    <row r="606">
      <c r="I606" s="56"/>
    </row>
    <row r="607">
      <c r="I607" s="56"/>
    </row>
    <row r="608">
      <c r="I608" s="56"/>
    </row>
    <row r="609">
      <c r="I609" s="56"/>
    </row>
    <row r="610">
      <c r="I610" s="56"/>
    </row>
    <row r="611">
      <c r="I611" s="56"/>
    </row>
    <row r="612">
      <c r="I612" s="56"/>
    </row>
    <row r="613">
      <c r="I613" s="56"/>
    </row>
    <row r="614">
      <c r="I614" s="56"/>
    </row>
    <row r="615">
      <c r="I615" s="56"/>
    </row>
    <row r="616">
      <c r="I616" s="56"/>
    </row>
    <row r="617">
      <c r="I617" s="56"/>
    </row>
    <row r="618">
      <c r="I618" s="56"/>
    </row>
    <row r="619">
      <c r="I619" s="56"/>
    </row>
    <row r="620">
      <c r="I620" s="56"/>
    </row>
    <row r="621">
      <c r="I621" s="56"/>
    </row>
    <row r="622">
      <c r="I622" s="56"/>
    </row>
    <row r="623">
      <c r="I623" s="56"/>
    </row>
    <row r="624">
      <c r="I624" s="56"/>
    </row>
    <row r="625">
      <c r="I625" s="56"/>
    </row>
    <row r="626">
      <c r="I626" s="56"/>
    </row>
    <row r="627">
      <c r="I627" s="56"/>
    </row>
    <row r="628">
      <c r="I628" s="56"/>
    </row>
    <row r="629">
      <c r="I629" s="56"/>
    </row>
    <row r="630">
      <c r="I630" s="56"/>
    </row>
    <row r="631">
      <c r="I631" s="56"/>
    </row>
    <row r="632">
      <c r="I632" s="56"/>
    </row>
    <row r="633">
      <c r="I633" s="56"/>
    </row>
    <row r="634">
      <c r="I634" s="56"/>
    </row>
    <row r="635">
      <c r="I635" s="56"/>
    </row>
    <row r="636">
      <c r="I636" s="56"/>
    </row>
    <row r="637">
      <c r="I637" s="56"/>
    </row>
    <row r="638">
      <c r="I638" s="56"/>
    </row>
    <row r="639">
      <c r="I639" s="56"/>
    </row>
    <row r="640">
      <c r="I640" s="56"/>
    </row>
    <row r="641">
      <c r="I641" s="56"/>
    </row>
    <row r="642">
      <c r="I642" s="56"/>
    </row>
    <row r="643">
      <c r="I643" s="56"/>
    </row>
    <row r="644">
      <c r="I644" s="56"/>
    </row>
    <row r="645">
      <c r="I645" s="56"/>
    </row>
    <row r="646">
      <c r="I646" s="56"/>
    </row>
    <row r="647">
      <c r="I647" s="56"/>
    </row>
    <row r="648">
      <c r="I648" s="56"/>
    </row>
    <row r="649">
      <c r="I649" s="56"/>
    </row>
    <row r="650">
      <c r="I650" s="56"/>
    </row>
    <row r="651">
      <c r="I651" s="56"/>
    </row>
    <row r="652">
      <c r="I652" s="56"/>
    </row>
    <row r="653">
      <c r="I653" s="56"/>
    </row>
    <row r="654">
      <c r="I654" s="56"/>
    </row>
    <row r="655">
      <c r="I655" s="56"/>
    </row>
    <row r="656">
      <c r="I656" s="56"/>
    </row>
    <row r="657">
      <c r="I657" s="56"/>
    </row>
    <row r="658">
      <c r="I658" s="56"/>
    </row>
    <row r="659">
      <c r="I659" s="56"/>
    </row>
    <row r="660">
      <c r="I660" s="56"/>
    </row>
    <row r="661">
      <c r="I661" s="56"/>
    </row>
    <row r="662">
      <c r="I662" s="56"/>
    </row>
    <row r="663">
      <c r="I663" s="56"/>
    </row>
    <row r="664">
      <c r="I664" s="56"/>
    </row>
    <row r="665">
      <c r="I665" s="56"/>
    </row>
    <row r="666">
      <c r="I666" s="56"/>
    </row>
    <row r="667">
      <c r="I667" s="56"/>
    </row>
    <row r="668">
      <c r="I668" s="56"/>
    </row>
    <row r="669">
      <c r="I669" s="56"/>
    </row>
    <row r="670">
      <c r="I670" s="56"/>
    </row>
    <row r="671">
      <c r="I671" s="56"/>
    </row>
    <row r="672">
      <c r="I672" s="56"/>
    </row>
    <row r="673">
      <c r="I673" s="56"/>
    </row>
    <row r="674">
      <c r="I674" s="56"/>
    </row>
    <row r="675">
      <c r="I675" s="56"/>
    </row>
    <row r="676">
      <c r="I676" s="56"/>
    </row>
    <row r="677">
      <c r="I677" s="56"/>
    </row>
    <row r="678">
      <c r="I678" s="56"/>
    </row>
    <row r="679">
      <c r="I679" s="56"/>
    </row>
    <row r="680">
      <c r="I680" s="56"/>
    </row>
    <row r="681">
      <c r="I681" s="56"/>
    </row>
    <row r="682">
      <c r="I682" s="56"/>
    </row>
    <row r="683">
      <c r="I683" s="56"/>
    </row>
    <row r="684">
      <c r="I684" s="56"/>
    </row>
    <row r="685">
      <c r="I685" s="56"/>
    </row>
    <row r="686">
      <c r="I686" s="56"/>
    </row>
    <row r="687">
      <c r="I687" s="56"/>
    </row>
    <row r="688">
      <c r="I688" s="56"/>
    </row>
    <row r="689">
      <c r="I689" s="56"/>
    </row>
    <row r="690">
      <c r="I690" s="56"/>
    </row>
    <row r="691">
      <c r="I691" s="56"/>
    </row>
    <row r="692">
      <c r="I692" s="56"/>
    </row>
    <row r="693">
      <c r="I693" s="56"/>
    </row>
    <row r="694">
      <c r="I694" s="56"/>
    </row>
    <row r="695">
      <c r="I695" s="56"/>
    </row>
    <row r="696">
      <c r="I696" s="56"/>
    </row>
    <row r="697">
      <c r="I697" s="56"/>
    </row>
    <row r="698">
      <c r="I698" s="56"/>
    </row>
    <row r="699">
      <c r="I699" s="56"/>
    </row>
    <row r="700">
      <c r="I700" s="56"/>
    </row>
    <row r="701">
      <c r="I701" s="56"/>
    </row>
    <row r="702">
      <c r="I702" s="56"/>
    </row>
    <row r="703">
      <c r="I703" s="56"/>
    </row>
    <row r="704">
      <c r="I704" s="56"/>
    </row>
    <row r="705">
      <c r="I705" s="56"/>
    </row>
    <row r="706">
      <c r="I706" s="56"/>
    </row>
    <row r="707">
      <c r="I707" s="56"/>
    </row>
    <row r="708">
      <c r="I708" s="56"/>
    </row>
    <row r="709">
      <c r="I709" s="56"/>
    </row>
    <row r="710">
      <c r="I710" s="56"/>
    </row>
    <row r="711">
      <c r="I711" s="56"/>
    </row>
    <row r="712">
      <c r="I712" s="56"/>
    </row>
    <row r="713">
      <c r="I713" s="56"/>
    </row>
    <row r="714">
      <c r="I714" s="56"/>
    </row>
    <row r="715">
      <c r="I715" s="56"/>
    </row>
    <row r="716">
      <c r="I716" s="56"/>
    </row>
    <row r="717">
      <c r="I717" s="56"/>
    </row>
    <row r="718">
      <c r="I718" s="56"/>
    </row>
    <row r="719">
      <c r="I719" s="56"/>
    </row>
    <row r="720">
      <c r="I720" s="56"/>
    </row>
    <row r="721">
      <c r="I721" s="56"/>
    </row>
    <row r="722">
      <c r="I722" s="56"/>
    </row>
    <row r="723">
      <c r="I723" s="56"/>
    </row>
    <row r="724">
      <c r="I724" s="56"/>
    </row>
    <row r="725">
      <c r="I725" s="56"/>
    </row>
    <row r="726">
      <c r="I726" s="56"/>
    </row>
    <row r="727">
      <c r="I727" s="56"/>
    </row>
    <row r="728">
      <c r="I728" s="56"/>
    </row>
    <row r="729">
      <c r="I729" s="56"/>
    </row>
    <row r="730">
      <c r="I730" s="56"/>
    </row>
    <row r="731">
      <c r="I731" s="56"/>
    </row>
    <row r="732">
      <c r="I732" s="56"/>
    </row>
    <row r="733">
      <c r="I733" s="56"/>
    </row>
    <row r="734">
      <c r="I734" s="56"/>
    </row>
    <row r="735">
      <c r="I735" s="56"/>
    </row>
    <row r="736">
      <c r="I736" s="56"/>
    </row>
    <row r="737">
      <c r="I737" s="56"/>
    </row>
    <row r="738">
      <c r="I738" s="56"/>
    </row>
    <row r="739">
      <c r="I739" s="56"/>
    </row>
    <row r="740">
      <c r="I740" s="56"/>
    </row>
    <row r="741">
      <c r="I741" s="56"/>
    </row>
    <row r="742">
      <c r="I742" s="56"/>
    </row>
    <row r="743">
      <c r="I743" s="56"/>
    </row>
    <row r="744">
      <c r="I744" s="56"/>
    </row>
    <row r="745">
      <c r="I745" s="56"/>
    </row>
    <row r="746">
      <c r="I746" s="56"/>
    </row>
    <row r="747">
      <c r="I747" s="56"/>
    </row>
    <row r="748">
      <c r="I748" s="56"/>
    </row>
    <row r="749">
      <c r="I749" s="56"/>
    </row>
    <row r="750">
      <c r="I750" s="56"/>
    </row>
    <row r="751">
      <c r="I751" s="56"/>
    </row>
    <row r="752">
      <c r="I752" s="56"/>
    </row>
    <row r="753">
      <c r="I753" s="56"/>
    </row>
    <row r="754">
      <c r="I754" s="56"/>
    </row>
    <row r="755">
      <c r="I755" s="56"/>
    </row>
    <row r="756">
      <c r="I756" s="56"/>
    </row>
    <row r="757">
      <c r="I757" s="56"/>
    </row>
    <row r="758">
      <c r="I758" s="56"/>
    </row>
    <row r="759">
      <c r="I759" s="56"/>
    </row>
    <row r="760">
      <c r="I760" s="56"/>
    </row>
    <row r="761">
      <c r="I761" s="56"/>
    </row>
    <row r="762">
      <c r="I762" s="56"/>
    </row>
    <row r="763">
      <c r="I763" s="56"/>
    </row>
    <row r="764">
      <c r="I764" s="56"/>
    </row>
    <row r="765">
      <c r="I765" s="56"/>
    </row>
    <row r="766">
      <c r="I766" s="56"/>
    </row>
    <row r="767">
      <c r="I767" s="56"/>
    </row>
    <row r="768">
      <c r="I768" s="56"/>
    </row>
    <row r="769">
      <c r="I769" s="56"/>
    </row>
    <row r="770">
      <c r="I770" s="56"/>
    </row>
    <row r="771">
      <c r="I771" s="56"/>
    </row>
    <row r="772">
      <c r="I772" s="56"/>
    </row>
    <row r="773">
      <c r="I773" s="56"/>
    </row>
    <row r="774">
      <c r="I774" s="56"/>
    </row>
    <row r="775">
      <c r="I775" s="56"/>
    </row>
    <row r="776">
      <c r="I776" s="56"/>
    </row>
    <row r="777">
      <c r="I777" s="56"/>
    </row>
    <row r="778">
      <c r="I778" s="56"/>
    </row>
    <row r="779">
      <c r="I779" s="56"/>
    </row>
    <row r="780">
      <c r="I780" s="56"/>
    </row>
    <row r="781">
      <c r="I781" s="56"/>
    </row>
    <row r="782">
      <c r="I782" s="56"/>
    </row>
    <row r="783">
      <c r="I783" s="56"/>
    </row>
    <row r="784">
      <c r="I784" s="56"/>
    </row>
    <row r="785">
      <c r="I785" s="56"/>
    </row>
    <row r="786">
      <c r="I786" s="56"/>
    </row>
    <row r="787">
      <c r="I787" s="56"/>
    </row>
    <row r="788">
      <c r="I788" s="56"/>
    </row>
    <row r="789">
      <c r="I789" s="56"/>
    </row>
    <row r="790">
      <c r="I790" s="56"/>
    </row>
    <row r="791">
      <c r="I791" s="56"/>
    </row>
    <row r="792">
      <c r="I792" s="56"/>
    </row>
    <row r="793">
      <c r="I793" s="56"/>
    </row>
    <row r="794">
      <c r="I794" s="56"/>
    </row>
    <row r="795">
      <c r="I795" s="56"/>
    </row>
    <row r="796">
      <c r="I796" s="56"/>
    </row>
    <row r="797">
      <c r="I797" s="56"/>
    </row>
    <row r="798">
      <c r="I798" s="56"/>
    </row>
    <row r="799">
      <c r="I799" s="56"/>
    </row>
    <row r="800">
      <c r="I800" s="56"/>
    </row>
    <row r="801">
      <c r="I801" s="56"/>
    </row>
    <row r="802">
      <c r="I802" s="56"/>
    </row>
    <row r="803">
      <c r="I803" s="56"/>
    </row>
    <row r="804">
      <c r="I804" s="56"/>
    </row>
    <row r="805">
      <c r="I805" s="56"/>
    </row>
    <row r="806">
      <c r="I806" s="56"/>
    </row>
    <row r="807">
      <c r="I807" s="56"/>
    </row>
    <row r="808">
      <c r="I808" s="56"/>
    </row>
    <row r="809">
      <c r="I809" s="56"/>
    </row>
    <row r="810">
      <c r="I810" s="56"/>
    </row>
    <row r="811">
      <c r="I811" s="56"/>
    </row>
    <row r="812">
      <c r="I812" s="56"/>
    </row>
    <row r="813">
      <c r="I813" s="56"/>
    </row>
    <row r="814">
      <c r="I814" s="56"/>
    </row>
    <row r="815">
      <c r="I815" s="56"/>
    </row>
    <row r="816">
      <c r="I816" s="56"/>
    </row>
    <row r="817">
      <c r="I817" s="56"/>
    </row>
    <row r="818">
      <c r="I818" s="56"/>
    </row>
    <row r="819">
      <c r="I819" s="56"/>
    </row>
    <row r="820">
      <c r="I820" s="56"/>
    </row>
    <row r="821">
      <c r="I821" s="56"/>
    </row>
    <row r="822">
      <c r="I822" s="56"/>
    </row>
    <row r="823">
      <c r="I823" s="56"/>
    </row>
    <row r="824">
      <c r="I824" s="56"/>
    </row>
    <row r="825">
      <c r="I825" s="56"/>
    </row>
    <row r="826">
      <c r="I826" s="56"/>
    </row>
    <row r="827">
      <c r="I827" s="56"/>
    </row>
    <row r="828">
      <c r="I828" s="56"/>
    </row>
    <row r="829">
      <c r="I829" s="56"/>
    </row>
    <row r="830">
      <c r="I830" s="56"/>
    </row>
    <row r="831">
      <c r="I831" s="56"/>
    </row>
    <row r="832">
      <c r="I832" s="56"/>
    </row>
    <row r="833">
      <c r="I833" s="56"/>
    </row>
    <row r="834">
      <c r="I834" s="56"/>
    </row>
    <row r="835">
      <c r="I835" s="56"/>
    </row>
    <row r="836">
      <c r="I836" s="56"/>
    </row>
    <row r="837">
      <c r="I837" s="56"/>
    </row>
    <row r="838">
      <c r="I838" s="56"/>
    </row>
    <row r="839">
      <c r="I839" s="56"/>
    </row>
    <row r="840">
      <c r="I840" s="56"/>
    </row>
    <row r="841">
      <c r="I841" s="56"/>
    </row>
    <row r="842">
      <c r="I842" s="56"/>
    </row>
    <row r="843">
      <c r="I843" s="56"/>
    </row>
    <row r="844">
      <c r="I844" s="56"/>
    </row>
    <row r="845">
      <c r="I845" s="56"/>
    </row>
    <row r="846">
      <c r="I846" s="56"/>
    </row>
    <row r="847">
      <c r="I847" s="56"/>
    </row>
    <row r="848">
      <c r="I848" s="56"/>
    </row>
    <row r="849">
      <c r="I849" s="56"/>
    </row>
    <row r="850">
      <c r="I850" s="56"/>
    </row>
    <row r="851">
      <c r="I851" s="56"/>
    </row>
    <row r="852">
      <c r="I852" s="56"/>
    </row>
    <row r="853">
      <c r="I853" s="56"/>
    </row>
    <row r="854">
      <c r="I854" s="56"/>
    </row>
    <row r="855">
      <c r="I855" s="56"/>
    </row>
    <row r="856">
      <c r="I856" s="56"/>
    </row>
    <row r="857">
      <c r="I857" s="56"/>
    </row>
    <row r="858">
      <c r="I858" s="56"/>
    </row>
    <row r="859">
      <c r="I859" s="56"/>
    </row>
    <row r="860">
      <c r="I860" s="56"/>
    </row>
    <row r="861">
      <c r="I861" s="56"/>
    </row>
    <row r="862">
      <c r="I862" s="56"/>
    </row>
    <row r="863">
      <c r="I863" s="56"/>
    </row>
    <row r="864">
      <c r="I864" s="56"/>
    </row>
    <row r="865">
      <c r="I865" s="56"/>
    </row>
    <row r="866">
      <c r="I866" s="56"/>
    </row>
    <row r="867">
      <c r="I867" s="56"/>
    </row>
    <row r="868">
      <c r="I868" s="56"/>
    </row>
    <row r="869">
      <c r="I869" s="56"/>
    </row>
    <row r="870">
      <c r="I870" s="56"/>
    </row>
    <row r="871">
      <c r="I871" s="56"/>
    </row>
    <row r="872">
      <c r="I872" s="56"/>
    </row>
    <row r="873">
      <c r="I873" s="56"/>
    </row>
    <row r="874">
      <c r="I874" s="56"/>
    </row>
    <row r="875">
      <c r="I875" s="56"/>
    </row>
    <row r="876">
      <c r="I876" s="56"/>
    </row>
    <row r="877">
      <c r="I877" s="56"/>
    </row>
    <row r="878">
      <c r="I878" s="56"/>
    </row>
    <row r="879">
      <c r="I879" s="56"/>
    </row>
    <row r="880">
      <c r="I880" s="56"/>
    </row>
    <row r="881">
      <c r="I881" s="56"/>
    </row>
    <row r="882">
      <c r="I882" s="56"/>
    </row>
    <row r="883">
      <c r="I883" s="56"/>
    </row>
    <row r="884">
      <c r="I884" s="56"/>
    </row>
    <row r="885">
      <c r="I885" s="56"/>
    </row>
    <row r="886">
      <c r="I886" s="56"/>
    </row>
    <row r="887">
      <c r="I887" s="56"/>
    </row>
    <row r="888">
      <c r="I888" s="56"/>
    </row>
    <row r="889">
      <c r="I889" s="56"/>
    </row>
    <row r="890">
      <c r="I890" s="56"/>
    </row>
    <row r="891">
      <c r="I891" s="56"/>
    </row>
    <row r="892">
      <c r="I892" s="56"/>
    </row>
    <row r="893">
      <c r="I893" s="56"/>
    </row>
    <row r="894">
      <c r="I894" s="56"/>
    </row>
    <row r="895">
      <c r="I895" s="56"/>
    </row>
    <row r="896">
      <c r="I896" s="56"/>
    </row>
    <row r="897">
      <c r="I897" s="56"/>
    </row>
    <row r="898">
      <c r="I898" s="56"/>
    </row>
    <row r="899">
      <c r="I899" s="56"/>
    </row>
    <row r="900">
      <c r="I900" s="56"/>
    </row>
    <row r="901">
      <c r="I901" s="56"/>
    </row>
    <row r="902">
      <c r="I902" s="56"/>
    </row>
    <row r="903">
      <c r="I903" s="56"/>
    </row>
    <row r="904">
      <c r="I904" s="56"/>
    </row>
    <row r="905">
      <c r="I905" s="56"/>
    </row>
    <row r="906">
      <c r="I906" s="56"/>
    </row>
    <row r="907">
      <c r="I907" s="56"/>
    </row>
    <row r="908">
      <c r="I908" s="56"/>
    </row>
    <row r="909">
      <c r="I909" s="56"/>
    </row>
    <row r="910">
      <c r="I910" s="56"/>
    </row>
    <row r="911">
      <c r="I911" s="56"/>
    </row>
    <row r="912">
      <c r="I912" s="56"/>
    </row>
    <row r="913">
      <c r="I913" s="56"/>
    </row>
    <row r="914">
      <c r="I914" s="56"/>
    </row>
    <row r="915">
      <c r="I915" s="56"/>
    </row>
    <row r="916">
      <c r="I916" s="56"/>
    </row>
    <row r="917">
      <c r="I917" s="56"/>
    </row>
    <row r="918">
      <c r="I918" s="56"/>
    </row>
    <row r="919">
      <c r="I919" s="56"/>
    </row>
    <row r="920">
      <c r="I920" s="56"/>
    </row>
    <row r="921">
      <c r="I921" s="56"/>
    </row>
    <row r="922">
      <c r="I922" s="56"/>
    </row>
    <row r="923">
      <c r="I923" s="56"/>
    </row>
    <row r="924">
      <c r="I924" s="56"/>
    </row>
    <row r="925">
      <c r="I925" s="56"/>
    </row>
    <row r="926">
      <c r="I926" s="56"/>
    </row>
    <row r="927">
      <c r="I927" s="56"/>
    </row>
    <row r="928">
      <c r="I928" s="56"/>
    </row>
    <row r="929">
      <c r="I929" s="56"/>
    </row>
    <row r="930">
      <c r="I930" s="56"/>
    </row>
    <row r="931">
      <c r="I931" s="56"/>
    </row>
    <row r="932">
      <c r="I932" s="56"/>
    </row>
    <row r="933">
      <c r="I933" s="56"/>
    </row>
    <row r="934">
      <c r="I934" s="56"/>
    </row>
    <row r="935">
      <c r="I935" s="56"/>
    </row>
    <row r="936">
      <c r="I936" s="56"/>
    </row>
    <row r="937">
      <c r="I937" s="56"/>
    </row>
    <row r="938">
      <c r="I938" s="56"/>
    </row>
    <row r="939">
      <c r="I939" s="56"/>
    </row>
    <row r="940">
      <c r="I940" s="56"/>
    </row>
    <row r="941">
      <c r="I941" s="56"/>
    </row>
    <row r="942">
      <c r="I942" s="56"/>
    </row>
    <row r="943">
      <c r="I943" s="56"/>
    </row>
    <row r="944">
      <c r="I944" s="56"/>
    </row>
    <row r="945">
      <c r="I945" s="56"/>
    </row>
    <row r="946">
      <c r="I946" s="56"/>
    </row>
    <row r="947">
      <c r="I947" s="56"/>
    </row>
    <row r="948">
      <c r="I948" s="56"/>
    </row>
    <row r="949">
      <c r="I949" s="56"/>
    </row>
    <row r="950">
      <c r="I950" s="56"/>
    </row>
    <row r="951">
      <c r="I951" s="56"/>
    </row>
    <row r="952">
      <c r="I952" s="56"/>
    </row>
    <row r="953">
      <c r="I953" s="56"/>
    </row>
    <row r="954">
      <c r="I954" s="56"/>
    </row>
    <row r="955">
      <c r="I955" s="56"/>
    </row>
    <row r="956">
      <c r="I956" s="56"/>
    </row>
    <row r="957">
      <c r="I957" s="56"/>
    </row>
    <row r="958">
      <c r="I958" s="56"/>
    </row>
    <row r="959">
      <c r="I959" s="56"/>
    </row>
    <row r="960">
      <c r="I960" s="56"/>
    </row>
    <row r="961">
      <c r="I961" s="56"/>
    </row>
    <row r="962">
      <c r="I962" s="56"/>
    </row>
    <row r="963">
      <c r="I963" s="56"/>
    </row>
    <row r="964">
      <c r="I964" s="56"/>
    </row>
    <row r="965">
      <c r="I965" s="56"/>
    </row>
    <row r="966">
      <c r="I966" s="56"/>
    </row>
    <row r="967">
      <c r="I967" s="56"/>
    </row>
    <row r="968">
      <c r="I968" s="56"/>
    </row>
    <row r="969">
      <c r="I969" s="56"/>
    </row>
    <row r="970">
      <c r="I970" s="56"/>
    </row>
    <row r="971">
      <c r="I971" s="56"/>
    </row>
    <row r="972">
      <c r="I972" s="56"/>
    </row>
    <row r="973">
      <c r="I973" s="56"/>
    </row>
    <row r="974">
      <c r="I974" s="56"/>
    </row>
    <row r="975">
      <c r="I975" s="56"/>
    </row>
    <row r="976">
      <c r="I976" s="56"/>
    </row>
    <row r="977">
      <c r="I977" s="56"/>
    </row>
    <row r="978">
      <c r="I978" s="56"/>
    </row>
    <row r="979">
      <c r="I979" s="56"/>
    </row>
    <row r="980">
      <c r="I980" s="56"/>
    </row>
    <row r="981">
      <c r="I981" s="56"/>
    </row>
    <row r="982">
      <c r="I982" s="56"/>
    </row>
    <row r="983">
      <c r="I983" s="56"/>
    </row>
    <row r="984">
      <c r="I984" s="56"/>
    </row>
    <row r="985">
      <c r="I985" s="56"/>
    </row>
    <row r="986">
      <c r="I986" s="56"/>
    </row>
    <row r="987">
      <c r="I987" s="56"/>
    </row>
    <row r="988">
      <c r="I988" s="56"/>
    </row>
    <row r="989">
      <c r="I989" s="56"/>
    </row>
    <row r="990">
      <c r="I990" s="56"/>
    </row>
    <row r="991">
      <c r="I991" s="56"/>
    </row>
    <row r="992">
      <c r="I992" s="56"/>
    </row>
    <row r="993">
      <c r="I993" s="56"/>
    </row>
    <row r="994">
      <c r="I994" s="56"/>
    </row>
    <row r="995">
      <c r="I995" s="56"/>
    </row>
    <row r="996">
      <c r="I996" s="56"/>
    </row>
    <row r="997">
      <c r="I997" s="56"/>
    </row>
    <row r="998">
      <c r="I998" s="56"/>
    </row>
    <row r="999">
      <c r="I999" s="56"/>
    </row>
    <row r="1000">
      <c r="I1000" s="56"/>
    </row>
  </sheetData>
  <mergeCells count="7">
    <mergeCell ref="A19:J19"/>
    <mergeCell ref="B20:J20"/>
    <mergeCell ref="B21:J21"/>
    <mergeCell ref="B22:J22"/>
    <mergeCell ref="B23:J23"/>
    <mergeCell ref="B24:J24"/>
    <mergeCell ref="B25:J25"/>
  </mergeCells>
  <dataValidations>
    <dataValidation type="list" allowBlank="1" sqref="J2:J16">
      <formula1>"Sim,Não,Incerto"</formula1>
    </dataValidation>
    <dataValidation type="list" allowBlank="1" sqref="H2:H16">
      <formula1>"Ruído estatístico,Reversão imediata,Liquidez insuficiente,Erro de dado,Sem contexto econômico,Outro"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7.0"/>
    <col customWidth="1" min="3" max="4" width="55.0"/>
    <col customWidth="1" min="5" max="26" width="8.71"/>
  </cols>
  <sheetData>
    <row r="1" ht="19.5" customHeight="1">
      <c r="A1" s="1" t="s">
        <v>206</v>
      </c>
      <c r="B1" s="1" t="s">
        <v>207</v>
      </c>
      <c r="C1" s="1" t="s">
        <v>208</v>
      </c>
      <c r="D1" s="1" t="s">
        <v>209</v>
      </c>
    </row>
    <row r="2" ht="72.0" customHeight="1">
      <c r="A2" s="57" t="s">
        <v>210</v>
      </c>
      <c r="B2" s="58" t="s">
        <v>211</v>
      </c>
      <c r="C2" s="58" t="s">
        <v>212</v>
      </c>
      <c r="D2" s="58" t="s">
        <v>213</v>
      </c>
    </row>
    <row r="3" ht="72.0" customHeight="1">
      <c r="A3" s="57" t="s">
        <v>210</v>
      </c>
      <c r="B3" s="58" t="s">
        <v>214</v>
      </c>
      <c r="C3" s="58" t="s">
        <v>215</v>
      </c>
      <c r="D3" s="58" t="s">
        <v>216</v>
      </c>
    </row>
    <row r="4" ht="72.0" customHeight="1">
      <c r="A4" s="57" t="s">
        <v>210</v>
      </c>
      <c r="B4" s="58" t="s">
        <v>217</v>
      </c>
      <c r="C4" s="58" t="s">
        <v>218</v>
      </c>
      <c r="D4" s="58" t="s">
        <v>219</v>
      </c>
    </row>
    <row r="5" ht="72.0" customHeight="1">
      <c r="A5" s="57" t="s">
        <v>210</v>
      </c>
      <c r="B5" s="58" t="s">
        <v>220</v>
      </c>
      <c r="C5" s="59" t="s">
        <v>221</v>
      </c>
      <c r="D5" s="58" t="s">
        <v>222</v>
      </c>
    </row>
    <row r="6" ht="72.0" customHeight="1">
      <c r="A6" s="60" t="s">
        <v>223</v>
      </c>
      <c r="B6" s="61" t="s">
        <v>211</v>
      </c>
      <c r="C6" s="61" t="s">
        <v>224</v>
      </c>
      <c r="D6" s="61" t="s">
        <v>225</v>
      </c>
    </row>
    <row r="7" ht="72.0" customHeight="1">
      <c r="A7" s="60" t="s">
        <v>223</v>
      </c>
      <c r="B7" s="61" t="s">
        <v>214</v>
      </c>
      <c r="C7" s="61" t="s">
        <v>226</v>
      </c>
      <c r="D7" s="61" t="s">
        <v>227</v>
      </c>
    </row>
    <row r="8" ht="72.0" customHeight="1">
      <c r="A8" s="60" t="s">
        <v>223</v>
      </c>
      <c r="B8" s="61" t="s">
        <v>217</v>
      </c>
      <c r="C8" s="61" t="s">
        <v>228</v>
      </c>
      <c r="D8" s="61" t="s">
        <v>229</v>
      </c>
    </row>
    <row r="9" ht="72.0" customHeight="1">
      <c r="A9" s="60" t="s">
        <v>223</v>
      </c>
      <c r="B9" s="61" t="s">
        <v>220</v>
      </c>
      <c r="C9" s="62" t="s">
        <v>230</v>
      </c>
      <c r="D9" s="61" t="s">
        <v>231</v>
      </c>
    </row>
    <row r="10" ht="72.0" customHeight="1">
      <c r="A10" s="63" t="s">
        <v>232</v>
      </c>
      <c r="B10" s="64" t="s">
        <v>211</v>
      </c>
      <c r="C10" s="64" t="s">
        <v>233</v>
      </c>
      <c r="D10" s="64" t="s">
        <v>234</v>
      </c>
    </row>
    <row r="11" ht="72.0" customHeight="1">
      <c r="A11" s="63" t="s">
        <v>232</v>
      </c>
      <c r="B11" s="64" t="s">
        <v>214</v>
      </c>
      <c r="C11" s="64" t="s">
        <v>235</v>
      </c>
      <c r="D11" s="64" t="s">
        <v>236</v>
      </c>
    </row>
    <row r="12" ht="72.0" customHeight="1">
      <c r="A12" s="63" t="s">
        <v>232</v>
      </c>
      <c r="B12" s="64" t="s">
        <v>217</v>
      </c>
      <c r="C12" s="64" t="s">
        <v>237</v>
      </c>
      <c r="D12" s="64" t="s">
        <v>238</v>
      </c>
    </row>
    <row r="13" ht="72.0" customHeight="1">
      <c r="A13" s="63" t="s">
        <v>232</v>
      </c>
      <c r="B13" s="64" t="s">
        <v>220</v>
      </c>
      <c r="C13" s="65" t="s">
        <v>239</v>
      </c>
      <c r="D13" s="64" t="s">
        <v>240</v>
      </c>
    </row>
    <row r="14" ht="72.0" customHeight="1">
      <c r="A14" s="66" t="s">
        <v>241</v>
      </c>
      <c r="B14" s="67" t="s">
        <v>211</v>
      </c>
      <c r="C14" s="68" t="s">
        <v>242</v>
      </c>
      <c r="D14" s="67" t="s">
        <v>243</v>
      </c>
    </row>
    <row r="15" ht="72.0" customHeight="1">
      <c r="A15" s="66" t="s">
        <v>241</v>
      </c>
      <c r="B15" s="67" t="s">
        <v>214</v>
      </c>
      <c r="C15" s="68" t="s">
        <v>244</v>
      </c>
      <c r="D15" s="67" t="s">
        <v>245</v>
      </c>
    </row>
    <row r="16" ht="72.0" customHeight="1">
      <c r="A16" s="66" t="s">
        <v>241</v>
      </c>
      <c r="B16" s="67" t="s">
        <v>217</v>
      </c>
      <c r="C16" s="68" t="s">
        <v>246</v>
      </c>
      <c r="D16" s="67" t="s">
        <v>247</v>
      </c>
    </row>
    <row r="17" ht="72.0" customHeight="1">
      <c r="A17" s="66" t="s">
        <v>241</v>
      </c>
      <c r="B17" s="67" t="s">
        <v>220</v>
      </c>
      <c r="C17" s="68" t="s">
        <v>248</v>
      </c>
      <c r="D17" s="68" t="s">
        <v>249</v>
      </c>
    </row>
    <row r="19">
      <c r="A19" s="69" t="s">
        <v>206</v>
      </c>
      <c r="B19" s="69" t="s">
        <v>207</v>
      </c>
      <c r="C19" s="3" t="s">
        <v>250</v>
      </c>
      <c r="D19" s="69" t="s">
        <v>209</v>
      </c>
    </row>
    <row r="20">
      <c r="A20" s="69" t="s">
        <v>210</v>
      </c>
      <c r="B20" s="69" t="s">
        <v>211</v>
      </c>
      <c r="C20" s="69" t="s">
        <v>212</v>
      </c>
      <c r="D20" s="69" t="s">
        <v>213</v>
      </c>
    </row>
    <row r="21" ht="15.75" customHeight="1">
      <c r="A21" s="69" t="s">
        <v>210</v>
      </c>
      <c r="B21" s="69" t="s">
        <v>214</v>
      </c>
      <c r="C21" s="69" t="s">
        <v>215</v>
      </c>
      <c r="D21" s="69" t="s">
        <v>216</v>
      </c>
    </row>
    <row r="22" ht="15.75" customHeight="1">
      <c r="A22" s="69" t="s">
        <v>210</v>
      </c>
      <c r="B22" s="69" t="s">
        <v>217</v>
      </c>
      <c r="C22" s="69" t="s">
        <v>218</v>
      </c>
      <c r="D22" s="69" t="s">
        <v>219</v>
      </c>
    </row>
    <row r="23" ht="15.75" customHeight="1">
      <c r="A23" s="69" t="s">
        <v>210</v>
      </c>
      <c r="B23" s="69" t="s">
        <v>220</v>
      </c>
      <c r="C23" s="3" t="s">
        <v>251</v>
      </c>
      <c r="D23" s="69" t="s">
        <v>222</v>
      </c>
    </row>
    <row r="24" ht="15.75" customHeight="1">
      <c r="A24" s="69" t="s">
        <v>223</v>
      </c>
      <c r="B24" s="69" t="s">
        <v>211</v>
      </c>
      <c r="C24" s="69" t="s">
        <v>224</v>
      </c>
      <c r="D24" s="69" t="s">
        <v>225</v>
      </c>
    </row>
    <row r="25" ht="15.75" customHeight="1">
      <c r="A25" s="69" t="s">
        <v>223</v>
      </c>
      <c r="B25" s="69" t="s">
        <v>214</v>
      </c>
      <c r="C25" s="69" t="s">
        <v>226</v>
      </c>
      <c r="D25" s="69" t="s">
        <v>227</v>
      </c>
    </row>
    <row r="26" ht="15.75" customHeight="1">
      <c r="A26" s="69" t="s">
        <v>223</v>
      </c>
      <c r="B26" s="69" t="s">
        <v>217</v>
      </c>
      <c r="C26" s="69" t="s">
        <v>228</v>
      </c>
      <c r="D26" s="69" t="s">
        <v>229</v>
      </c>
    </row>
    <row r="27" ht="15.75" customHeight="1">
      <c r="A27" s="69" t="s">
        <v>223</v>
      </c>
      <c r="B27" s="69" t="s">
        <v>220</v>
      </c>
      <c r="C27" s="3" t="s">
        <v>252</v>
      </c>
      <c r="D27" s="69" t="s">
        <v>231</v>
      </c>
    </row>
    <row r="28" ht="15.75" customHeight="1">
      <c r="A28" s="69" t="s">
        <v>232</v>
      </c>
      <c r="B28" s="69" t="s">
        <v>211</v>
      </c>
      <c r="C28" s="69" t="s">
        <v>233</v>
      </c>
      <c r="D28" s="69" t="s">
        <v>234</v>
      </c>
    </row>
    <row r="29" ht="15.75" customHeight="1">
      <c r="A29" s="69" t="s">
        <v>232</v>
      </c>
      <c r="B29" s="69" t="s">
        <v>214</v>
      </c>
      <c r="C29" s="69" t="s">
        <v>235</v>
      </c>
      <c r="D29" s="69" t="s">
        <v>236</v>
      </c>
    </row>
    <row r="30" ht="15.75" customHeight="1">
      <c r="A30" s="69" t="s">
        <v>232</v>
      </c>
      <c r="B30" s="69" t="s">
        <v>217</v>
      </c>
      <c r="C30" s="69" t="s">
        <v>237</v>
      </c>
      <c r="D30" s="69" t="s">
        <v>238</v>
      </c>
    </row>
    <row r="31" ht="15.75" customHeight="1">
      <c r="A31" s="69" t="s">
        <v>232</v>
      </c>
      <c r="B31" s="69" t="s">
        <v>220</v>
      </c>
      <c r="C31" s="3" t="s">
        <v>253</v>
      </c>
      <c r="D31" s="69" t="s">
        <v>240</v>
      </c>
    </row>
    <row r="32" ht="15.75" customHeight="1">
      <c r="A32" s="69" t="s">
        <v>241</v>
      </c>
      <c r="B32" s="69" t="s">
        <v>211</v>
      </c>
      <c r="C32" s="3" t="s">
        <v>254</v>
      </c>
      <c r="D32" s="69" t="s">
        <v>243</v>
      </c>
    </row>
    <row r="33" ht="15.75" customHeight="1">
      <c r="A33" s="69" t="s">
        <v>241</v>
      </c>
      <c r="B33" s="69" t="s">
        <v>214</v>
      </c>
      <c r="C33" s="3" t="s">
        <v>244</v>
      </c>
      <c r="D33" s="69" t="s">
        <v>245</v>
      </c>
    </row>
    <row r="34" ht="15.75" customHeight="1">
      <c r="A34" s="69" t="s">
        <v>241</v>
      </c>
      <c r="B34" s="69" t="s">
        <v>217</v>
      </c>
      <c r="C34" s="3" t="s">
        <v>246</v>
      </c>
      <c r="D34" s="69" t="s">
        <v>247</v>
      </c>
    </row>
    <row r="35" ht="15.75" customHeight="1">
      <c r="A35" s="69" t="s">
        <v>241</v>
      </c>
      <c r="B35" s="69" t="s">
        <v>220</v>
      </c>
      <c r="C35" s="3" t="s">
        <v>248</v>
      </c>
      <c r="D35" s="3" t="s">
        <v>249</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0.0"/>
    <col customWidth="1" min="3" max="3" width="42.0"/>
    <col customWidth="1" min="4" max="4" width="85.0"/>
    <col customWidth="1" min="5" max="26" width="8.71"/>
  </cols>
  <sheetData>
    <row r="1" ht="19.5" customHeight="1">
      <c r="A1" s="1" t="s">
        <v>0</v>
      </c>
      <c r="B1" s="1" t="s">
        <v>1</v>
      </c>
      <c r="C1" s="1" t="s">
        <v>3</v>
      </c>
      <c r="D1" s="1" t="s">
        <v>255</v>
      </c>
    </row>
    <row r="2" ht="292.5" customHeight="1">
      <c r="A2" s="70">
        <v>1.0</v>
      </c>
      <c r="B2" s="70" t="s">
        <v>26</v>
      </c>
      <c r="C2" s="61" t="s">
        <v>28</v>
      </c>
      <c r="D2" s="61" t="s">
        <v>256</v>
      </c>
    </row>
    <row r="3" ht="276.0" customHeight="1">
      <c r="A3" s="71">
        <v>2.0</v>
      </c>
      <c r="B3" s="71" t="s">
        <v>33</v>
      </c>
      <c r="C3" s="58" t="s">
        <v>35</v>
      </c>
      <c r="D3" s="58" t="s">
        <v>257</v>
      </c>
    </row>
    <row r="4" ht="235.5" customHeight="1">
      <c r="A4" s="71">
        <v>3.0</v>
      </c>
      <c r="B4" s="71" t="s">
        <v>37</v>
      </c>
      <c r="C4" s="58" t="s">
        <v>38</v>
      </c>
      <c r="D4" s="58" t="s">
        <v>258</v>
      </c>
    </row>
    <row r="5" ht="213.75" customHeight="1">
      <c r="A5" s="70">
        <v>4.0</v>
      </c>
      <c r="B5" s="70" t="s">
        <v>39</v>
      </c>
      <c r="C5" s="61" t="s">
        <v>40</v>
      </c>
      <c r="D5" s="61" t="s">
        <v>259</v>
      </c>
    </row>
    <row r="6" ht="238.5" customHeight="1">
      <c r="A6" s="70">
        <v>5.0</v>
      </c>
      <c r="B6" s="70" t="s">
        <v>43</v>
      </c>
      <c r="C6" s="61" t="s">
        <v>44</v>
      </c>
      <c r="D6" s="61" t="s">
        <v>260</v>
      </c>
    </row>
    <row r="7" ht="315.75" customHeight="1">
      <c r="A7" s="71">
        <v>6.0</v>
      </c>
      <c r="B7" s="71" t="s">
        <v>46</v>
      </c>
      <c r="C7" s="58" t="s">
        <v>47</v>
      </c>
      <c r="D7" s="58" t="s">
        <v>261</v>
      </c>
    </row>
    <row r="8" ht="210.75" customHeight="1">
      <c r="A8" s="70">
        <v>7.0</v>
      </c>
      <c r="B8" s="70" t="s">
        <v>50</v>
      </c>
      <c r="C8" s="61" t="s">
        <v>51</v>
      </c>
      <c r="D8" s="61" t="s">
        <v>262</v>
      </c>
    </row>
    <row r="9" ht="90.0" customHeight="1">
      <c r="A9" s="70">
        <v>8.0</v>
      </c>
      <c r="B9" s="70" t="s">
        <v>53</v>
      </c>
      <c r="C9" s="61" t="s">
        <v>54</v>
      </c>
      <c r="D9" s="61" t="s">
        <v>263</v>
      </c>
    </row>
    <row r="10" ht="90.0" customHeight="1">
      <c r="A10" s="70">
        <v>9.0</v>
      </c>
      <c r="B10" s="70" t="s">
        <v>58</v>
      </c>
      <c r="C10" s="61" t="s">
        <v>59</v>
      </c>
      <c r="D10" s="61" t="s">
        <v>264</v>
      </c>
    </row>
    <row r="11" ht="245.25" customHeight="1">
      <c r="A11" s="71">
        <v>10.0</v>
      </c>
      <c r="B11" s="71" t="s">
        <v>61</v>
      </c>
      <c r="C11" s="58" t="s">
        <v>62</v>
      </c>
      <c r="D11" s="58" t="s">
        <v>265</v>
      </c>
    </row>
    <row r="12" ht="90.0" customHeight="1">
      <c r="A12" s="70">
        <v>11.0</v>
      </c>
      <c r="B12" s="70" t="s">
        <v>65</v>
      </c>
      <c r="C12" s="61" t="s">
        <v>66</v>
      </c>
      <c r="D12" s="61" t="s">
        <v>266</v>
      </c>
    </row>
    <row r="13" ht="90.0" customHeight="1">
      <c r="A13" s="70">
        <v>12.0</v>
      </c>
      <c r="B13" s="70" t="s">
        <v>68</v>
      </c>
      <c r="C13" s="61" t="s">
        <v>69</v>
      </c>
      <c r="D13" s="61" t="s">
        <v>267</v>
      </c>
    </row>
    <row r="14" ht="90.0" customHeight="1">
      <c r="A14" s="70">
        <v>13.0</v>
      </c>
      <c r="B14" s="70" t="s">
        <v>71</v>
      </c>
      <c r="C14" s="61" t="s">
        <v>72</v>
      </c>
      <c r="D14" s="61" t="s">
        <v>268</v>
      </c>
    </row>
    <row r="15" ht="155.25" customHeight="1">
      <c r="A15" s="70">
        <v>14.0</v>
      </c>
      <c r="B15" s="70" t="s">
        <v>74</v>
      </c>
      <c r="C15" s="61" t="s">
        <v>75</v>
      </c>
      <c r="D15" s="61" t="s">
        <v>269</v>
      </c>
    </row>
    <row r="16" ht="90.0" customHeight="1">
      <c r="A16" s="71">
        <v>15.0</v>
      </c>
      <c r="B16" s="71" t="s">
        <v>77</v>
      </c>
      <c r="C16" s="58" t="s">
        <v>78</v>
      </c>
      <c r="D16" s="58" t="s">
        <v>270</v>
      </c>
    </row>
    <row r="17" ht="339.0" customHeight="1">
      <c r="A17" s="72">
        <v>16.0</v>
      </c>
      <c r="B17" s="70" t="s">
        <v>80</v>
      </c>
      <c r="C17" s="61" t="s">
        <v>81</v>
      </c>
      <c r="D17" s="61" t="s">
        <v>271</v>
      </c>
    </row>
    <row r="18" ht="90.0" customHeight="1">
      <c r="A18" s="70">
        <v>17.0</v>
      </c>
      <c r="B18" s="70" t="s">
        <v>83</v>
      </c>
      <c r="C18" s="61" t="s">
        <v>84</v>
      </c>
      <c r="D18" s="61" t="s">
        <v>272</v>
      </c>
    </row>
    <row r="19" ht="266.25" customHeight="1">
      <c r="A19" s="71">
        <v>18.0</v>
      </c>
      <c r="B19" s="71" t="s">
        <v>86</v>
      </c>
      <c r="C19" s="58" t="s">
        <v>62</v>
      </c>
      <c r="D19" s="58" t="s">
        <v>273</v>
      </c>
    </row>
    <row r="20" ht="90.0" customHeight="1">
      <c r="A20" s="70">
        <v>19.0</v>
      </c>
      <c r="B20" s="70" t="s">
        <v>88</v>
      </c>
      <c r="C20" s="61" t="s">
        <v>89</v>
      </c>
      <c r="D20" s="61" t="s">
        <v>274</v>
      </c>
    </row>
    <row r="21" ht="90.0" customHeight="1">
      <c r="A21" s="70">
        <v>20.0</v>
      </c>
      <c r="B21" s="70" t="s">
        <v>91</v>
      </c>
      <c r="C21" s="61" t="s">
        <v>92</v>
      </c>
      <c r="D21" s="61" t="s">
        <v>275</v>
      </c>
    </row>
    <row r="22" ht="90.0" customHeight="1">
      <c r="A22" s="71">
        <v>21.0</v>
      </c>
      <c r="B22" s="71" t="s">
        <v>94</v>
      </c>
      <c r="C22" s="58" t="s">
        <v>95</v>
      </c>
      <c r="D22" s="58" t="s">
        <v>276</v>
      </c>
    </row>
    <row r="23" ht="90.0" customHeight="1">
      <c r="A23" s="70">
        <v>22.0</v>
      </c>
      <c r="B23" s="70" t="s">
        <v>97</v>
      </c>
      <c r="C23" s="61" t="s">
        <v>98</v>
      </c>
      <c r="D23" s="61" t="s">
        <v>277</v>
      </c>
    </row>
    <row r="24" ht="90.0" customHeight="1">
      <c r="A24" s="71">
        <v>23.0</v>
      </c>
      <c r="B24" s="71" t="s">
        <v>100</v>
      </c>
      <c r="C24" s="58" t="s">
        <v>101</v>
      </c>
      <c r="D24" s="58" t="s">
        <v>278</v>
      </c>
    </row>
    <row r="25" ht="90.0" customHeight="1">
      <c r="A25" s="70">
        <v>24.0</v>
      </c>
      <c r="B25" s="70" t="s">
        <v>104</v>
      </c>
      <c r="C25" s="61" t="s">
        <v>92</v>
      </c>
      <c r="D25" s="61" t="s">
        <v>279</v>
      </c>
    </row>
    <row r="26" ht="90.0" customHeight="1">
      <c r="A26" s="71">
        <v>25.0</v>
      </c>
      <c r="B26" s="71" t="s">
        <v>106</v>
      </c>
      <c r="C26" s="58" t="s">
        <v>47</v>
      </c>
      <c r="D26" s="58" t="s">
        <v>280</v>
      </c>
    </row>
    <row r="27" ht="90.0" customHeight="1">
      <c r="A27" s="71">
        <v>26.0</v>
      </c>
      <c r="B27" s="71" t="s">
        <v>108</v>
      </c>
      <c r="C27" s="58" t="s">
        <v>78</v>
      </c>
      <c r="D27" s="58" t="s">
        <v>281</v>
      </c>
    </row>
    <row r="28" ht="90.0" customHeight="1">
      <c r="A28" s="71">
        <v>27.0</v>
      </c>
      <c r="B28" s="71" t="s">
        <v>110</v>
      </c>
      <c r="C28" s="58" t="s">
        <v>111</v>
      </c>
      <c r="D28" s="58" t="s">
        <v>282</v>
      </c>
    </row>
    <row r="29" ht="90.0" customHeight="1">
      <c r="A29" s="70">
        <v>28.0</v>
      </c>
      <c r="B29" s="70" t="s">
        <v>113</v>
      </c>
      <c r="C29" s="61" t="s">
        <v>114</v>
      </c>
      <c r="D29" s="61" t="s">
        <v>283</v>
      </c>
    </row>
    <row r="30" ht="90.0" customHeight="1">
      <c r="A30" s="71">
        <v>29.0</v>
      </c>
      <c r="B30" s="71" t="s">
        <v>116</v>
      </c>
      <c r="C30" s="58" t="s">
        <v>117</v>
      </c>
      <c r="D30" s="58" t="s">
        <v>284</v>
      </c>
    </row>
    <row r="31" ht="90.0" customHeight="1">
      <c r="A31" s="70">
        <v>30.0</v>
      </c>
      <c r="B31" s="70" t="s">
        <v>119</v>
      </c>
      <c r="C31" s="61" t="s">
        <v>114</v>
      </c>
      <c r="D31" s="61" t="s">
        <v>285</v>
      </c>
    </row>
    <row r="32" ht="90.0" customHeight="1">
      <c r="A32" s="71">
        <v>31.0</v>
      </c>
      <c r="B32" s="71" t="s">
        <v>121</v>
      </c>
      <c r="C32" s="58" t="s">
        <v>78</v>
      </c>
      <c r="D32" s="58" t="s">
        <v>286</v>
      </c>
    </row>
    <row r="33" ht="90.0" customHeight="1">
      <c r="A33" s="71">
        <v>32.0</v>
      </c>
      <c r="B33" s="71" t="s">
        <v>123</v>
      </c>
      <c r="C33" s="58" t="s">
        <v>124</v>
      </c>
      <c r="D33" s="58" t="s">
        <v>287</v>
      </c>
    </row>
    <row r="34" ht="90.0" customHeight="1">
      <c r="A34" s="71">
        <v>33.0</v>
      </c>
      <c r="B34" s="71" t="s">
        <v>126</v>
      </c>
      <c r="C34" s="58" t="s">
        <v>127</v>
      </c>
      <c r="D34" s="58" t="s">
        <v>288</v>
      </c>
    </row>
    <row r="35" ht="90.0" customHeight="1">
      <c r="A35" s="70">
        <v>34.0</v>
      </c>
      <c r="B35" s="70" t="s">
        <v>129</v>
      </c>
      <c r="C35" s="61" t="s">
        <v>130</v>
      </c>
      <c r="D35" s="61" t="s">
        <v>289</v>
      </c>
    </row>
    <row r="36" ht="90.0" customHeight="1">
      <c r="A36" s="70">
        <v>35.0</v>
      </c>
      <c r="B36" s="70" t="s">
        <v>132</v>
      </c>
      <c r="C36" s="61" t="s">
        <v>133</v>
      </c>
      <c r="D36" s="61" t="s">
        <v>290</v>
      </c>
    </row>
    <row r="37" ht="90.0" customHeight="1">
      <c r="A37" s="70">
        <v>36.0</v>
      </c>
      <c r="B37" s="70" t="s">
        <v>135</v>
      </c>
      <c r="C37" s="61" t="s">
        <v>114</v>
      </c>
      <c r="D37" s="61" t="s">
        <v>291</v>
      </c>
    </row>
    <row r="38" ht="90.0" customHeight="1">
      <c r="A38" s="71">
        <v>37.0</v>
      </c>
      <c r="B38" s="71" t="s">
        <v>137</v>
      </c>
      <c r="C38" s="58" t="s">
        <v>138</v>
      </c>
      <c r="D38" s="58" t="s">
        <v>292</v>
      </c>
    </row>
    <row r="39" ht="90.0" customHeight="1">
      <c r="A39" s="71">
        <v>38.0</v>
      </c>
      <c r="B39" s="71" t="s">
        <v>140</v>
      </c>
      <c r="C39" s="58" t="s">
        <v>141</v>
      </c>
      <c r="D39" s="58" t="s">
        <v>293</v>
      </c>
    </row>
    <row r="40" ht="90.0" customHeight="1">
      <c r="A40" s="70">
        <v>39.0</v>
      </c>
      <c r="B40" s="70" t="s">
        <v>143</v>
      </c>
      <c r="C40" s="61" t="s">
        <v>144</v>
      </c>
      <c r="D40" s="61" t="s">
        <v>294</v>
      </c>
    </row>
    <row r="41" ht="90.0" customHeight="1">
      <c r="A41" s="71">
        <v>40.0</v>
      </c>
      <c r="B41" s="71" t="s">
        <v>146</v>
      </c>
      <c r="C41" s="58" t="s">
        <v>147</v>
      </c>
      <c r="D41" s="58" t="s">
        <v>295</v>
      </c>
    </row>
    <row r="42" ht="90.0" customHeight="1">
      <c r="A42" s="71">
        <v>41.0</v>
      </c>
      <c r="B42" s="71" t="s">
        <v>149</v>
      </c>
      <c r="C42" s="58" t="s">
        <v>150</v>
      </c>
      <c r="D42" s="58" t="s">
        <v>296</v>
      </c>
    </row>
    <row r="43" ht="90.0" customHeight="1">
      <c r="A43" s="71">
        <v>42.0</v>
      </c>
      <c r="B43" s="71" t="s">
        <v>152</v>
      </c>
      <c r="C43" s="58" t="s">
        <v>153</v>
      </c>
      <c r="D43" s="58" t="s">
        <v>297</v>
      </c>
    </row>
    <row r="44" ht="90.0" customHeight="1">
      <c r="A44" s="70">
        <v>43.0</v>
      </c>
      <c r="B44" s="70" t="s">
        <v>155</v>
      </c>
      <c r="C44" s="61" t="s">
        <v>156</v>
      </c>
      <c r="D44" s="61" t="s">
        <v>298</v>
      </c>
    </row>
    <row r="45" ht="90.0" customHeight="1">
      <c r="A45" s="70">
        <v>44.0</v>
      </c>
      <c r="B45" s="70" t="s">
        <v>158</v>
      </c>
      <c r="C45" s="61" t="s">
        <v>130</v>
      </c>
      <c r="D45" s="61" t="s">
        <v>299</v>
      </c>
    </row>
    <row r="46" ht="90.0" customHeight="1">
      <c r="A46" s="70">
        <v>45.0</v>
      </c>
      <c r="B46" s="70" t="s">
        <v>160</v>
      </c>
      <c r="C46" s="61" t="s">
        <v>144</v>
      </c>
      <c r="D46" s="61" t="s">
        <v>300</v>
      </c>
    </row>
    <row r="47" ht="90.0" customHeight="1">
      <c r="A47" s="70">
        <v>46.0</v>
      </c>
      <c r="B47" s="70" t="s">
        <v>162</v>
      </c>
      <c r="C47" s="61" t="s">
        <v>163</v>
      </c>
      <c r="D47" s="61" t="s">
        <v>301</v>
      </c>
    </row>
    <row r="48" ht="90.0" customHeight="1">
      <c r="A48" s="70">
        <v>47.0</v>
      </c>
      <c r="B48" s="70" t="s">
        <v>165</v>
      </c>
      <c r="C48" s="61" t="s">
        <v>166</v>
      </c>
      <c r="D48" s="61" t="s">
        <v>302</v>
      </c>
    </row>
    <row r="49" ht="90.0" customHeight="1">
      <c r="A49" s="70">
        <v>48.0</v>
      </c>
      <c r="B49" s="70" t="s">
        <v>168</v>
      </c>
      <c r="C49" s="61" t="s">
        <v>169</v>
      </c>
      <c r="D49" s="61" t="s">
        <v>303</v>
      </c>
    </row>
    <row r="50" ht="90.0" customHeight="1">
      <c r="A50" s="70">
        <v>49.0</v>
      </c>
      <c r="B50" s="70" t="s">
        <v>171</v>
      </c>
      <c r="C50" s="61" t="s">
        <v>172</v>
      </c>
      <c r="D50" s="61" t="s">
        <v>304</v>
      </c>
    </row>
    <row r="51" ht="90.0" customHeight="1">
      <c r="A51" s="71">
        <v>50.0</v>
      </c>
      <c r="B51" s="71" t="s">
        <v>174</v>
      </c>
      <c r="C51" s="58" t="s">
        <v>175</v>
      </c>
      <c r="D51" s="58" t="s">
        <v>305</v>
      </c>
    </row>
    <row r="52" ht="90.0" customHeight="1">
      <c r="A52" s="71">
        <v>51.0</v>
      </c>
      <c r="B52" s="71" t="s">
        <v>177</v>
      </c>
      <c r="C52" s="58" t="s">
        <v>178</v>
      </c>
      <c r="D52" s="58" t="s">
        <v>306</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